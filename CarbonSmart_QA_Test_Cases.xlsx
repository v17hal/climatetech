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uth &amp; Session" sheetId="2" state="visible" r:id="rId2"/>
    <sheet xmlns:r="http://schemas.openxmlformats.org/officeDocument/2006/relationships" name="RBAC" sheetId="3" state="visible" r:id="rId3"/>
    <sheet xmlns:r="http://schemas.openxmlformats.org/officeDocument/2006/relationships" name="Farmer Mgmt" sheetId="4" state="visible" r:id="rId4"/>
    <sheet xmlns:r="http://schemas.openxmlformats.org/officeDocument/2006/relationships" name="Biochar + Gate1" sheetId="5" state="visible" r:id="rId5"/>
    <sheet xmlns:r="http://schemas.openxmlformats.org/officeDocument/2006/relationships" name="dCoC + Evidence" sheetId="6" state="visible" r:id="rId6"/>
    <sheet xmlns:r="http://schemas.openxmlformats.org/officeDocument/2006/relationships" name="Lab + Gate3" sheetId="7" state="visible" r:id="rId7"/>
    <sheet xmlns:r="http://schemas.openxmlformats.org/officeDocument/2006/relationships" name="Camera Log" sheetId="8" state="visible" r:id="rId8"/>
    <sheet xmlns:r="http://schemas.openxmlformats.org/officeDocument/2006/relationships" name="Yield + Gate2" sheetId="9" state="visible" r:id="rId9"/>
    <sheet xmlns:r="http://schemas.openxmlformats.org/officeDocument/2006/relationships" name="Seasonality" sheetId="10" state="visible" r:id="rId10"/>
    <sheet xmlns:r="http://schemas.openxmlformats.org/officeDocument/2006/relationships" name="Ledger" sheetId="11" state="visible" r:id="rId11"/>
    <sheet xmlns:r="http://schemas.openxmlformats.org/officeDocument/2006/relationships" name="Farmer Impact" sheetId="12" state="visible" r:id="rId12"/>
    <sheet xmlns:r="http://schemas.openxmlformats.org/officeDocument/2006/relationships" name="Public Passport" sheetId="13" state="visible" r:id="rId13"/>
    <sheet xmlns:r="http://schemas.openxmlformats.org/officeDocument/2006/relationships" name="Carbon + Offline" sheetId="14" state="visible" r:id="rId14"/>
    <sheet xmlns:r="http://schemas.openxmlformats.org/officeDocument/2006/relationships" name="Mapping" sheetId="15" state="visible" r:id="rId15"/>
    <sheet xmlns:r="http://schemas.openxmlformats.org/officeDocument/2006/relationships" name="LSM" sheetId="16" state="visible" r:id="rId16"/>
    <sheet xmlns:r="http://schemas.openxmlformats.org/officeDocument/2006/relationships" name="Smart Farming" sheetId="17" state="visible" r:id="rId17"/>
    <sheet xmlns:r="http://schemas.openxmlformats.org/officeDocument/2006/relationships" name="Analytics" sheetId="18" state="visible" r:id="rId18"/>
    <sheet xmlns:r="http://schemas.openxmlformats.org/officeDocument/2006/relationships" name="Audit Log" sheetId="19" state="visible" r:id="rId19"/>
    <sheet xmlns:r="http://schemas.openxmlformats.org/officeDocument/2006/relationships" name="Non-Functional" sheetId="20" state="visible" r:id="rId20"/>
    <sheet xmlns:r="http://schemas.openxmlformats.org/officeDocument/2006/relationships" name="E2E Scenario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6192C"/>
      <sz val="16"/>
    </font>
    <font>
      <color rgb="0040BBB9"/>
      <sz val="11"/>
    </font>
    <font>
      <b val="1"/>
      <color rgb="0006192C"/>
    </font>
    <font>
      <b val="1"/>
      <color rgb="0006192C"/>
      <sz val="12"/>
    </font>
    <font>
      <b val="1"/>
      <color rgb="00FFFFFF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06192C"/>
      </patternFill>
    </fill>
    <fill>
      <patternFill patternType="solid">
        <fgColor rgb="00F8D7DA"/>
      </patternFill>
    </fill>
    <fill>
      <patternFill patternType="solid">
        <fgColor rgb="00F1F3F5"/>
      </patternFill>
    </fill>
    <fill>
      <patternFill patternType="solid">
        <fgColor rgb="00FFF3CD"/>
      </patternFill>
    </fill>
    <fill>
      <patternFill patternType="solid">
        <fgColor rgb="00FFE5D0"/>
      </patternFill>
    </fill>
    <fill>
      <patternFill patternType="solid">
        <fgColor rgb="00E2E3E5"/>
      </patternFill>
    </fill>
    <fill>
      <patternFill patternType="solid">
        <fgColor rgb="0040BBB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5" fillId="8" borderId="0" pivotButton="0" quotePrefix="0" xfId="0"/>
    <xf numFmtId="0" fontId="5" fillId="8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8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CarbonSmart Solutions Africa - QA Test Cases</t>
        </is>
      </c>
    </row>
    <row r="3">
      <c r="B3" s="2" t="inlineStr">
        <is>
          <t>Farm ERP + Biochar Carbon-Credit dMRV Platform  -  v2.0.0</t>
        </is>
      </c>
    </row>
    <row r="5">
      <c r="B5" s="3" t="inlineStr">
        <is>
          <t>Build under test</t>
        </is>
      </c>
      <c r="C5" s="4" t="inlineStr"/>
    </row>
    <row r="6">
      <c r="B6" s="3" t="inlineStr">
        <is>
          <t>Tested by</t>
        </is>
      </c>
      <c r="C6" s="4" t="inlineStr"/>
    </row>
    <row r="7">
      <c r="B7" s="3" t="inlineStr">
        <is>
          <t>Cycle / Date</t>
        </is>
      </c>
      <c r="C7" s="4" t="inlineStr"/>
    </row>
    <row r="8">
      <c r="B8" s="3" t="inlineStr">
        <is>
          <t>Environment</t>
        </is>
      </c>
      <c r="C8" s="4" t="inlineStr">
        <is>
          <t>Client http://localhost:5173  |  API http://localhost:3001</t>
        </is>
      </c>
    </row>
    <row r="10">
      <c r="B10" s="3" t="inlineStr">
        <is>
          <t>How to use</t>
        </is>
      </c>
      <c r="C10" s="4" t="inlineStr">
        <is>
          <t>One tab per test area. Fill Status (dropdown), Tester, Date, Defect ID and Comments for each case.</t>
        </is>
      </c>
    </row>
    <row r="11">
      <c r="B11" s="3" t="inlineStr">
        <is>
          <t>Status values</t>
        </is>
      </c>
      <c r="C11" s="4" t="inlineStr">
        <is>
          <t>Pass / Fail / Blocked / N/A  (dropdown in each Status cell)</t>
        </is>
      </c>
    </row>
    <row r="12">
      <c r="B12" s="3" t="inlineStr">
        <is>
          <t>Severity</t>
        </is>
      </c>
      <c r="C12" s="4" t="inlineStr">
        <is>
          <t>S1 Critical (blocks release) | S2 Major | S3 Minor | S4 Cosmetic</t>
        </is>
      </c>
    </row>
    <row r="13">
      <c r="B13" s="3" t="inlineStr">
        <is>
          <t>Setup</t>
        </is>
      </c>
      <c r="C13" s="4" t="inlineStr">
        <is>
          <t>cd server; npm run db:push; npm run db:seed; npm run dev   +   cd client; npm run dev</t>
        </is>
      </c>
    </row>
    <row r="14">
      <c r="B14" s="3" t="inlineStr">
        <is>
          <t>IMPORTANT</t>
        </is>
      </c>
      <c r="C14" s="4" t="inlineStr">
        <is>
          <t>Re-run 'npm run db:seed' between cycles so gate / mass-balance tests start from known data.</t>
        </is>
      </c>
    </row>
    <row r="15">
      <c r="B15" s="3" t="inlineStr">
        <is>
          <t>Accounts</t>
        </is>
      </c>
      <c r="C15" s="4" t="inlineStr">
        <is>
          <t>admin/admin123 | officer/officer123 | lab/lab123 | auditor/auditor123 | farmer/farmer123 (all @carbonsmart.co.za)</t>
        </is>
      </c>
    </row>
    <row r="16">
      <c r="B16" s="3" t="inlineStr">
        <is>
          <t>Full detail</t>
        </is>
      </c>
      <c r="C16" s="4" t="inlineStr">
        <is>
          <t>See QA_TEST_PLAN.md for setup, gate cheat-sheet, E2E narrative and known limitations.</t>
        </is>
      </c>
    </row>
    <row r="18">
      <c r="B18" s="5" t="inlineStr">
        <is>
          <t>Totals</t>
        </is>
      </c>
    </row>
    <row r="19">
      <c r="B19" s="6" t="inlineStr">
        <is>
          <t>Area</t>
        </is>
      </c>
      <c r="C19" s="6" t="inlineStr">
        <is>
          <t>Cases</t>
        </is>
      </c>
      <c r="D19" s="6" t="inlineStr">
        <is>
          <t>Pass</t>
        </is>
      </c>
      <c r="E19" s="6" t="inlineStr">
        <is>
          <t>Fail</t>
        </is>
      </c>
      <c r="F19" s="6" t="inlineStr">
        <is>
          <t>Blocked</t>
        </is>
      </c>
      <c r="G19" s="6" t="inlineStr">
        <is>
          <t>Not run</t>
        </is>
      </c>
    </row>
    <row r="20">
      <c r="B20" s="7" t="inlineStr">
        <is>
          <t>Auth &amp; Session</t>
        </is>
      </c>
      <c r="C20" s="8" t="n">
        <v>12</v>
      </c>
      <c r="D20" s="8">
        <f>COUNTIF('Auth &amp; Session'!F2:F13,"Pass")</f>
        <v/>
      </c>
      <c r="E20" s="8">
        <f>COUNTIF('Auth &amp; Session'!F2:F13,"Fail")</f>
        <v/>
      </c>
      <c r="F20" s="8">
        <f>COUNTIF('Auth &amp; Session'!F2:F13,"Blocked")</f>
        <v/>
      </c>
      <c r="G20" s="8">
        <f>12-COUNTIF('Auth &amp; Session'!F2:F13,"Pass")-COUNTIF('Auth &amp; Session'!F2:F13,"Fail")-COUNTIF('Auth &amp; Session'!F2:F13,"Blocked")-COUNTIF('Auth &amp; Session'!F2:F13,"N/A")</f>
        <v/>
      </c>
    </row>
    <row r="21">
      <c r="B21" s="7" t="inlineStr">
        <is>
          <t>RBAC</t>
        </is>
      </c>
      <c r="C21" s="8" t="n">
        <v>11</v>
      </c>
      <c r="D21" s="8">
        <f>COUNTIF('RBAC'!F2:F12,"Pass")</f>
        <v/>
      </c>
      <c r="E21" s="8">
        <f>COUNTIF('RBAC'!F2:F12,"Fail")</f>
        <v/>
      </c>
      <c r="F21" s="8">
        <f>COUNTIF('RBAC'!F2:F12,"Blocked")</f>
        <v/>
      </c>
      <c r="G21" s="8">
        <f>11-COUNTIF('RBAC'!F2:F12,"Pass")-COUNTIF('RBAC'!F2:F12,"Fail")-COUNTIF('RBAC'!F2:F12,"Blocked")-COUNTIF('RBAC'!F2:F12,"N/A")</f>
        <v/>
      </c>
    </row>
    <row r="22">
      <c r="B22" s="7" t="inlineStr">
        <is>
          <t>Farmer Mgmt</t>
        </is>
      </c>
      <c r="C22" s="8" t="n">
        <v>7</v>
      </c>
      <c r="D22" s="8">
        <f>COUNTIF('Farmer Mgmt'!F2:F8,"Pass")</f>
        <v/>
      </c>
      <c r="E22" s="8">
        <f>COUNTIF('Farmer Mgmt'!F2:F8,"Fail")</f>
        <v/>
      </c>
      <c r="F22" s="8">
        <f>COUNTIF('Farmer Mgmt'!F2:F8,"Blocked")</f>
        <v/>
      </c>
      <c r="G22" s="8">
        <f>7-COUNTIF('Farmer Mgmt'!F2:F8,"Pass")-COUNTIF('Farmer Mgmt'!F2:F8,"Fail")-COUNTIF('Farmer Mgmt'!F2:F8,"Blocked")-COUNTIF('Farmer Mgmt'!F2:F8,"N/A")</f>
        <v/>
      </c>
    </row>
    <row r="23">
      <c r="B23" s="7" t="inlineStr">
        <is>
          <t>Biochar + Gate1</t>
        </is>
      </c>
      <c r="C23" s="8" t="n">
        <v>11</v>
      </c>
      <c r="D23" s="8">
        <f>COUNTIF('Biochar + Gate1'!F2:F12,"Pass")</f>
        <v/>
      </c>
      <c r="E23" s="8">
        <f>COUNTIF('Biochar + Gate1'!F2:F12,"Fail")</f>
        <v/>
      </c>
      <c r="F23" s="8">
        <f>COUNTIF('Biochar + Gate1'!F2:F12,"Blocked")</f>
        <v/>
      </c>
      <c r="G23" s="8">
        <f>11-COUNTIF('Biochar + Gate1'!F2:F12,"Pass")-COUNTIF('Biochar + Gate1'!F2:F12,"Fail")-COUNTIF('Biochar + Gate1'!F2:F12,"Blocked")-COUNTIF('Biochar + Gate1'!F2:F12,"N/A")</f>
        <v/>
      </c>
    </row>
    <row r="24">
      <c r="B24" s="7" t="inlineStr">
        <is>
          <t>dCoC + Evidence</t>
        </is>
      </c>
      <c r="C24" s="8" t="n">
        <v>8</v>
      </c>
      <c r="D24" s="8">
        <f>COUNTIF('dCoC + Evidence'!F2:F9,"Pass")</f>
        <v/>
      </c>
      <c r="E24" s="8">
        <f>COUNTIF('dCoC + Evidence'!F2:F9,"Fail")</f>
        <v/>
      </c>
      <c r="F24" s="8">
        <f>COUNTIF('dCoC + Evidence'!F2:F9,"Blocked")</f>
        <v/>
      </c>
      <c r="G24" s="8">
        <f>8-COUNTIF('dCoC + Evidence'!F2:F9,"Pass")-COUNTIF('dCoC + Evidence'!F2:F9,"Fail")-COUNTIF('dCoC + Evidence'!F2:F9,"Blocked")-COUNTIF('dCoC + Evidence'!F2:F9,"N/A")</f>
        <v/>
      </c>
    </row>
    <row r="25">
      <c r="B25" s="7" t="inlineStr">
        <is>
          <t>Lab + Gate3</t>
        </is>
      </c>
      <c r="C25" s="8" t="n">
        <v>10</v>
      </c>
      <c r="D25" s="8">
        <f>COUNTIF('Lab + Gate3'!F2:F11,"Pass")</f>
        <v/>
      </c>
      <c r="E25" s="8">
        <f>COUNTIF('Lab + Gate3'!F2:F11,"Fail")</f>
        <v/>
      </c>
      <c r="F25" s="8">
        <f>COUNTIF('Lab + Gate3'!F2:F11,"Blocked")</f>
        <v/>
      </c>
      <c r="G25" s="8">
        <f>10-COUNTIF('Lab + Gate3'!F2:F11,"Pass")-COUNTIF('Lab + Gate3'!F2:F11,"Fail")-COUNTIF('Lab + Gate3'!F2:F11,"Blocked")-COUNTIF('Lab + Gate3'!F2:F11,"N/A")</f>
        <v/>
      </c>
    </row>
    <row r="26">
      <c r="B26" s="7" t="inlineStr">
        <is>
          <t>Camera Log</t>
        </is>
      </c>
      <c r="C26" s="8" t="n">
        <v>4</v>
      </c>
      <c r="D26" s="8">
        <f>COUNTIF('Camera Log'!F2:F5,"Pass")</f>
        <v/>
      </c>
      <c r="E26" s="8">
        <f>COUNTIF('Camera Log'!F2:F5,"Fail")</f>
        <v/>
      </c>
      <c r="F26" s="8">
        <f>COUNTIF('Camera Log'!F2:F5,"Blocked")</f>
        <v/>
      </c>
      <c r="G26" s="8">
        <f>4-COUNTIF('Camera Log'!F2:F5,"Pass")-COUNTIF('Camera Log'!F2:F5,"Fail")-COUNTIF('Camera Log'!F2:F5,"Blocked")-COUNTIF('Camera Log'!F2:F5,"N/A")</f>
        <v/>
      </c>
    </row>
    <row r="27">
      <c r="B27" s="7" t="inlineStr">
        <is>
          <t>Yield + Gate2</t>
        </is>
      </c>
      <c r="C27" s="8" t="n">
        <v>6</v>
      </c>
      <c r="D27" s="8">
        <f>COUNTIF('Yield + Gate2'!F2:F7,"Pass")</f>
        <v/>
      </c>
      <c r="E27" s="8">
        <f>COUNTIF('Yield + Gate2'!F2:F7,"Fail")</f>
        <v/>
      </c>
      <c r="F27" s="8">
        <f>COUNTIF('Yield + Gate2'!F2:F7,"Blocked")</f>
        <v/>
      </c>
      <c r="G27" s="8">
        <f>6-COUNTIF('Yield + Gate2'!F2:F7,"Pass")-COUNTIF('Yield + Gate2'!F2:F7,"Fail")-COUNTIF('Yield + Gate2'!F2:F7,"Blocked")-COUNTIF('Yield + Gate2'!F2:F7,"N/A")</f>
        <v/>
      </c>
    </row>
    <row r="28">
      <c r="B28" s="7" t="inlineStr">
        <is>
          <t>Seasonality</t>
        </is>
      </c>
      <c r="C28" s="8" t="n">
        <v>5</v>
      </c>
      <c r="D28" s="8">
        <f>COUNTIF('Seasonality'!F2:F6,"Pass")</f>
        <v/>
      </c>
      <c r="E28" s="8">
        <f>COUNTIF('Seasonality'!F2:F6,"Fail")</f>
        <v/>
      </c>
      <c r="F28" s="8">
        <f>COUNTIF('Seasonality'!F2:F6,"Blocked")</f>
        <v/>
      </c>
      <c r="G28" s="8">
        <f>5-COUNTIF('Seasonality'!F2:F6,"Pass")-COUNTIF('Seasonality'!F2:F6,"Fail")-COUNTIF('Seasonality'!F2:F6,"Blocked")-COUNTIF('Seasonality'!F2:F6,"N/A")</f>
        <v/>
      </c>
    </row>
    <row r="29">
      <c r="B29" s="7" t="inlineStr">
        <is>
          <t>Ledger</t>
        </is>
      </c>
      <c r="C29" s="8" t="n">
        <v>5</v>
      </c>
      <c r="D29" s="8">
        <f>COUNTIF('Ledger'!F2:F6,"Pass")</f>
        <v/>
      </c>
      <c r="E29" s="8">
        <f>COUNTIF('Ledger'!F2:F6,"Fail")</f>
        <v/>
      </c>
      <c r="F29" s="8">
        <f>COUNTIF('Ledger'!F2:F6,"Blocked")</f>
        <v/>
      </c>
      <c r="G29" s="8">
        <f>5-COUNTIF('Ledger'!F2:F6,"Pass")-COUNTIF('Ledger'!F2:F6,"Fail")-COUNTIF('Ledger'!F2:F6,"Blocked")-COUNTIF('Ledger'!F2:F6,"N/A")</f>
        <v/>
      </c>
    </row>
    <row r="30">
      <c r="B30" s="7" t="inlineStr">
        <is>
          <t>Farmer Impact</t>
        </is>
      </c>
      <c r="C30" s="8" t="n">
        <v>12</v>
      </c>
      <c r="D30" s="8">
        <f>COUNTIF('Farmer Impact'!F2:F13,"Pass")</f>
        <v/>
      </c>
      <c r="E30" s="8">
        <f>COUNTIF('Farmer Impact'!F2:F13,"Fail")</f>
        <v/>
      </c>
      <c r="F30" s="8">
        <f>COUNTIF('Farmer Impact'!F2:F13,"Blocked")</f>
        <v/>
      </c>
      <c r="G30" s="8">
        <f>12-COUNTIF('Farmer Impact'!F2:F13,"Pass")-COUNTIF('Farmer Impact'!F2:F13,"Fail")-COUNTIF('Farmer Impact'!F2:F13,"Blocked")-COUNTIF('Farmer Impact'!F2:F13,"N/A")</f>
        <v/>
      </c>
    </row>
    <row r="31">
      <c r="B31" s="7" t="inlineStr">
        <is>
          <t>Public Passport</t>
        </is>
      </c>
      <c r="C31" s="8" t="n">
        <v>6</v>
      </c>
      <c r="D31" s="8">
        <f>COUNTIF('Public Passport'!F2:F7,"Pass")</f>
        <v/>
      </c>
      <c r="E31" s="8">
        <f>COUNTIF('Public Passport'!F2:F7,"Fail")</f>
        <v/>
      </c>
      <c r="F31" s="8">
        <f>COUNTIF('Public Passport'!F2:F7,"Blocked")</f>
        <v/>
      </c>
      <c r="G31" s="8">
        <f>6-COUNTIF('Public Passport'!F2:F7,"Pass")-COUNTIF('Public Passport'!F2:F7,"Fail")-COUNTIF('Public Passport'!F2:F7,"Blocked")-COUNTIF('Public Passport'!F2:F7,"N/A")</f>
        <v/>
      </c>
    </row>
    <row r="32">
      <c r="B32" s="7" t="inlineStr">
        <is>
          <t>Carbon + Offline</t>
        </is>
      </c>
      <c r="C32" s="8" t="n">
        <v>5</v>
      </c>
      <c r="D32" s="8">
        <f>COUNTIF('Carbon + Offline'!F2:F6,"Pass")</f>
        <v/>
      </c>
      <c r="E32" s="8">
        <f>COUNTIF('Carbon + Offline'!F2:F6,"Fail")</f>
        <v/>
      </c>
      <c r="F32" s="8">
        <f>COUNTIF('Carbon + Offline'!F2:F6,"Blocked")</f>
        <v/>
      </c>
      <c r="G32" s="8">
        <f>5-COUNTIF('Carbon + Offline'!F2:F6,"Pass")-COUNTIF('Carbon + Offline'!F2:F6,"Fail")-COUNTIF('Carbon + Offline'!F2:F6,"Blocked")-COUNTIF('Carbon + Offline'!F2:F6,"N/A")</f>
        <v/>
      </c>
    </row>
    <row r="33">
      <c r="B33" s="7" t="inlineStr">
        <is>
          <t>Mapping</t>
        </is>
      </c>
      <c r="C33" s="8" t="n">
        <v>5</v>
      </c>
      <c r="D33" s="8">
        <f>COUNTIF('Mapping'!F2:F6,"Pass")</f>
        <v/>
      </c>
      <c r="E33" s="8">
        <f>COUNTIF('Mapping'!F2:F6,"Fail")</f>
        <v/>
      </c>
      <c r="F33" s="8">
        <f>COUNTIF('Mapping'!F2:F6,"Blocked")</f>
        <v/>
      </c>
      <c r="G33" s="8">
        <f>5-COUNTIF('Mapping'!F2:F6,"Pass")-COUNTIF('Mapping'!F2:F6,"Fail")-COUNTIF('Mapping'!F2:F6,"Blocked")-COUNTIF('Mapping'!F2:F6,"N/A")</f>
        <v/>
      </c>
    </row>
    <row r="34">
      <c r="B34" s="7" t="inlineStr">
        <is>
          <t>LSM</t>
        </is>
      </c>
      <c r="C34" s="8" t="n">
        <v>3</v>
      </c>
      <c r="D34" s="8">
        <f>COUNTIF('LSM'!F2:F4,"Pass")</f>
        <v/>
      </c>
      <c r="E34" s="8">
        <f>COUNTIF('LSM'!F2:F4,"Fail")</f>
        <v/>
      </c>
      <c r="F34" s="8">
        <f>COUNTIF('LSM'!F2:F4,"Blocked")</f>
        <v/>
      </c>
      <c r="G34" s="8">
        <f>3-COUNTIF('LSM'!F2:F4,"Pass")-COUNTIF('LSM'!F2:F4,"Fail")-COUNTIF('LSM'!F2:F4,"Blocked")-COUNTIF('LSM'!F2:F4,"N/A")</f>
        <v/>
      </c>
    </row>
    <row r="35">
      <c r="B35" s="7" t="inlineStr">
        <is>
          <t>Smart Farming</t>
        </is>
      </c>
      <c r="C35" s="8" t="n">
        <v>6</v>
      </c>
      <c r="D35" s="8">
        <f>COUNTIF('Smart Farming'!F2:F7,"Pass")</f>
        <v/>
      </c>
      <c r="E35" s="8">
        <f>COUNTIF('Smart Farming'!F2:F7,"Fail")</f>
        <v/>
      </c>
      <c r="F35" s="8">
        <f>COUNTIF('Smart Farming'!F2:F7,"Blocked")</f>
        <v/>
      </c>
      <c r="G35" s="8">
        <f>6-COUNTIF('Smart Farming'!F2:F7,"Pass")-COUNTIF('Smart Farming'!F2:F7,"Fail")-COUNTIF('Smart Farming'!F2:F7,"Blocked")-COUNTIF('Smart Farming'!F2:F7,"N/A")</f>
        <v/>
      </c>
    </row>
    <row r="36">
      <c r="B36" s="7" t="inlineStr">
        <is>
          <t>Analytics</t>
        </is>
      </c>
      <c r="C36" s="8" t="n">
        <v>5</v>
      </c>
      <c r="D36" s="8">
        <f>COUNTIF('Analytics'!F2:F6,"Pass")</f>
        <v/>
      </c>
      <c r="E36" s="8">
        <f>COUNTIF('Analytics'!F2:F6,"Fail")</f>
        <v/>
      </c>
      <c r="F36" s="8">
        <f>COUNTIF('Analytics'!F2:F6,"Blocked")</f>
        <v/>
      </c>
      <c r="G36" s="8">
        <f>5-COUNTIF('Analytics'!F2:F6,"Pass")-COUNTIF('Analytics'!F2:F6,"Fail")-COUNTIF('Analytics'!F2:F6,"Blocked")-COUNTIF('Analytics'!F2:F6,"N/A")</f>
        <v/>
      </c>
    </row>
    <row r="37">
      <c r="B37" s="7" t="inlineStr">
        <is>
          <t>Audit Log</t>
        </is>
      </c>
      <c r="C37" s="8" t="n">
        <v>4</v>
      </c>
      <c r="D37" s="8">
        <f>COUNTIF('Audit Log'!F2:F5,"Pass")</f>
        <v/>
      </c>
      <c r="E37" s="8">
        <f>COUNTIF('Audit Log'!F2:F5,"Fail")</f>
        <v/>
      </c>
      <c r="F37" s="8">
        <f>COUNTIF('Audit Log'!F2:F5,"Blocked")</f>
        <v/>
      </c>
      <c r="G37" s="8">
        <f>4-COUNTIF('Audit Log'!F2:F5,"Pass")-COUNTIF('Audit Log'!F2:F5,"Fail")-COUNTIF('Audit Log'!F2:F5,"Blocked")-COUNTIF('Audit Log'!F2:F5,"N/A")</f>
        <v/>
      </c>
    </row>
    <row r="38">
      <c r="B38" s="7" t="inlineStr">
        <is>
          <t>Non-Functional</t>
        </is>
      </c>
      <c r="C38" s="8" t="n">
        <v>9</v>
      </c>
      <c r="D38" s="8">
        <f>COUNTIF('Non-Functional'!F2:F10,"Pass")</f>
        <v/>
      </c>
      <c r="E38" s="8">
        <f>COUNTIF('Non-Functional'!F2:F10,"Fail")</f>
        <v/>
      </c>
      <c r="F38" s="8">
        <f>COUNTIF('Non-Functional'!F2:F10,"Blocked")</f>
        <v/>
      </c>
      <c r="G38" s="8">
        <f>9-COUNTIF('Non-Functional'!F2:F10,"Pass")-COUNTIF('Non-Functional'!F2:F10,"Fail")-COUNTIF('Non-Functional'!F2:F10,"Blocked")-COUNTIF('Non-Functional'!F2:F10,"N/A")</f>
        <v/>
      </c>
    </row>
    <row r="39">
      <c r="B39" s="7" t="inlineStr">
        <is>
          <t>E2E Scenario</t>
        </is>
      </c>
      <c r="C39" s="8" t="n">
        <v>13</v>
      </c>
      <c r="D39" s="8">
        <f>COUNTIF('E2E Scenario'!F2:F14,"Pass")</f>
        <v/>
      </c>
      <c r="E39" s="8">
        <f>COUNTIF('E2E Scenario'!F2:F14,"Fail")</f>
        <v/>
      </c>
      <c r="F39" s="8">
        <f>COUNTIF('E2E Scenario'!F2:F14,"Blocked")</f>
        <v/>
      </c>
      <c r="G39" s="8">
        <f>13-COUNTIF('E2E Scenario'!F2:F14,"Pass")-COUNTIF('E2E Scenario'!F2:F14,"Fail")-COUNTIF('E2E Scenario'!F2:F14,"Blocked")-COUNTIF('E2E Scenario'!F2:F14,"N/A")</f>
        <v/>
      </c>
    </row>
    <row r="40">
      <c r="B40" s="9" t="inlineStr">
        <is>
          <t>TOTAL</t>
        </is>
      </c>
      <c r="C40" s="10">
        <f>SUM(C20:C39)</f>
        <v/>
      </c>
      <c r="D40" s="10">
        <f>SUM(D20:D39)</f>
        <v/>
      </c>
      <c r="E40" s="10">
        <f>SUM(E20:E39)</f>
        <v/>
      </c>
      <c r="F40" s="10">
        <f>SUM(F20:F39)</f>
        <v/>
      </c>
      <c r="G40" s="10">
        <f>SUM(G20:G39)</f>
        <v/>
      </c>
    </row>
    <row r="42">
      <c r="B42" s="11" t="inlineStr">
        <is>
          <t>147 test cases across 20 areas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TC-AUTH-01</t>
        </is>
      </c>
      <c r="B2" s="13" t="inlineStr">
        <is>
          <t>Valid login (each role)</t>
        </is>
      </c>
      <c r="C2" s="13" t="inlineStr">
        <is>
          <t>For each of the 5 accounts: /login, enter creds, Sign In</t>
        </is>
      </c>
      <c r="D2" s="13" t="inlineStr">
        <is>
          <t>Redirect to /dashboard (farmer -&gt; farmer view); welcome toast; role-appropriate sidebar</t>
        </is>
      </c>
      <c r="E2" s="14" t="inlineStr">
        <is>
          <t>S1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TC-AUTH-02</t>
        </is>
      </c>
      <c r="B3" s="15" t="inlineStr">
        <is>
          <t>Demo autofill</t>
        </is>
      </c>
      <c r="C3" s="15" t="inlineStr">
        <is>
          <t>Click a demo-credential row on login page</t>
        </is>
      </c>
      <c r="D3" s="15" t="inlineStr">
        <is>
          <t>Email + password auto-populate</t>
        </is>
      </c>
      <c r="E3" s="17" t="inlineStr">
        <is>
          <t>S3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TC-AUTH-03</t>
        </is>
      </c>
      <c r="B4" s="13" t="inlineStr">
        <is>
          <t>Invalid password</t>
        </is>
      </c>
      <c r="C4" s="13" t="inlineStr">
        <is>
          <t>Correct email, wrong password</t>
        </is>
      </c>
      <c r="D4" s="13" t="inlineStr">
        <is>
          <t>Error toast 'Invalid credentials'; stays on login</t>
        </is>
      </c>
      <c r="E4" s="18" t="inlineStr">
        <is>
          <t>S2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TC-AUTH-04</t>
        </is>
      </c>
      <c r="B5" s="15" t="inlineStr">
        <is>
          <t>Empty/short fields</t>
        </is>
      </c>
      <c r="C5" s="15" t="inlineStr">
        <is>
          <t>Submit blank; password &lt; 6 chars</t>
        </is>
      </c>
      <c r="D5" s="15" t="inlineStr">
        <is>
          <t>Inline Zod validation; no request sent</t>
        </is>
      </c>
      <c r="E5" s="17" t="inlineStr">
        <is>
          <t>S3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TC-AUTH-05</t>
        </is>
      </c>
      <c r="B6" s="13" t="inlineStr">
        <is>
          <t>Session persists</t>
        </is>
      </c>
      <c r="C6" s="13" t="inlineStr">
        <is>
          <t>Log in, refresh browser (F5)</t>
        </is>
      </c>
      <c r="D6" s="13" t="inlineStr">
        <is>
          <t>Still authenticated, same page</t>
        </is>
      </c>
      <c r="E6" s="18" t="inlineStr">
        <is>
          <t>S2</t>
        </is>
      </c>
      <c r="F6" s="8" t="inlineStr"/>
      <c r="G6" s="15" t="inlineStr"/>
      <c r="H6" s="8" t="inlineStr"/>
      <c r="I6" s="15" t="inlineStr"/>
      <c r="J6" s="15" t="inlineStr"/>
    </row>
    <row r="7">
      <c r="A7" s="16" t="inlineStr">
        <is>
          <t>TC-AUTH-06</t>
        </is>
      </c>
      <c r="B7" s="15" t="inlineStr">
        <is>
          <t>Logout</t>
        </is>
      </c>
      <c r="C7" s="15" t="inlineStr">
        <is>
          <t>Click logout in sidebar</t>
        </is>
      </c>
      <c r="D7" s="15" t="inlineStr">
        <is>
          <t>Redirect to /login; back-button does not re-enter app</t>
        </is>
      </c>
      <c r="E7" s="18" t="inlineStr">
        <is>
          <t>S2</t>
        </is>
      </c>
      <c r="F7" s="8" t="inlineStr"/>
      <c r="G7" s="15" t="inlineStr"/>
      <c r="H7" s="8" t="inlineStr"/>
      <c r="I7" s="15" t="inlineStr"/>
      <c r="J7" s="15" t="inlineStr"/>
    </row>
    <row r="8">
      <c r="A8" s="12" t="inlineStr">
        <is>
          <t>TC-AUTH-07</t>
        </is>
      </c>
      <c r="B8" s="13" t="inlineStr">
        <is>
          <t>Protected route guard</t>
        </is>
      </c>
      <c r="C8" s="13" t="inlineStr">
        <is>
          <t>Logged out, visit /dashboard directly</t>
        </is>
      </c>
      <c r="D8" s="13" t="inlineStr">
        <is>
          <t>Redirected to /login</t>
        </is>
      </c>
      <c r="E8" s="14" t="inlineStr">
        <is>
          <t>S1</t>
        </is>
      </c>
      <c r="F8" s="8" t="inlineStr"/>
      <c r="G8" s="15" t="inlineStr"/>
      <c r="H8" s="8" t="inlineStr"/>
      <c r="I8" s="15" t="inlineStr"/>
      <c r="J8" s="15" t="inlineStr"/>
    </row>
    <row r="9">
      <c r="A9" s="16" t="inlineStr">
        <is>
          <t>TC-AUTH-08</t>
        </is>
      </c>
      <c r="B9" s="15" t="inlineStr">
        <is>
          <t>Token refresh</t>
        </is>
      </c>
      <c r="C9" s="15" t="inlineStr">
        <is>
          <t>Log in, idle &gt;15 min, perform an action</t>
        </is>
      </c>
      <c r="D9" s="15" t="inlineStr">
        <is>
          <t>Action succeeds (silent refresh), no forced logout</t>
        </is>
      </c>
      <c r="E9" s="18" t="inlineStr">
        <is>
          <t>S2</t>
        </is>
      </c>
      <c r="F9" s="8" t="inlineStr"/>
      <c r="G9" s="15" t="inlineStr"/>
      <c r="H9" s="8" t="inlineStr"/>
      <c r="I9" s="15" t="inlineStr"/>
      <c r="J9" s="15" t="inlineStr"/>
    </row>
    <row r="10">
      <c r="A10" s="12" t="inlineStr">
        <is>
          <t>TC-AUTH-09</t>
        </is>
      </c>
      <c r="B10" s="13" t="inlineStr">
        <is>
          <t>Registration (new farmer)</t>
        </is>
      </c>
      <c r="C10" s="13" t="inlineStr">
        <is>
          <t>/register -&gt; 3-step wizard -&gt; submit</t>
        </is>
      </c>
      <c r="D10" s="13" t="inlineStr">
        <is>
          <t>201; auto-login; farmer ID CSA-YYYY-NNNNN; dashboard</t>
        </is>
      </c>
      <c r="E10" s="14" t="inlineStr">
        <is>
          <t>S1</t>
        </is>
      </c>
      <c r="F10" s="8" t="inlineStr"/>
      <c r="G10" s="15" t="inlineStr"/>
      <c r="H10" s="8" t="inlineStr"/>
      <c r="I10" s="15" t="inlineStr"/>
      <c r="J10" s="15" t="inlineStr"/>
    </row>
    <row r="11">
      <c r="A11" s="16" t="inlineStr">
        <is>
          <t>TC-AUTH-10</t>
        </is>
      </c>
      <c r="B11" s="15" t="inlineStr">
        <is>
          <t>Duplicate email</t>
        </is>
      </c>
      <c r="C11" s="15" t="inlineStr">
        <is>
          <t>Register with farmer@carbonsmart.co.za</t>
        </is>
      </c>
      <c r="D11" s="15" t="inlineStr">
        <is>
          <t>Error 'Email already registered' (409)</t>
        </is>
      </c>
      <c r="E11" s="18" t="inlineStr">
        <is>
          <t>S2</t>
        </is>
      </c>
      <c r="F11" s="8" t="inlineStr"/>
      <c r="G11" s="15" t="inlineStr"/>
      <c r="H11" s="8" t="inlineStr"/>
      <c r="I11" s="15" t="inlineStr"/>
      <c r="J11" s="15" t="inlineStr"/>
    </row>
    <row r="12">
      <c r="A12" s="12" t="inlineStr">
        <is>
          <t>TC-AUTH-11</t>
        </is>
      </c>
      <c r="B12" s="13" t="inlineStr">
        <is>
          <t>Offline login fallback</t>
        </is>
      </c>
      <c r="C12" s="13" t="inlineStr">
        <is>
          <t>Stop backend, log in with a demo account</t>
        </is>
      </c>
      <c r="D12" s="13" t="inlineStr">
        <is>
          <t>Logs in with '(offline demo mode)' toast</t>
        </is>
      </c>
      <c r="E12" s="17" t="inlineStr">
        <is>
          <t>S3</t>
        </is>
      </c>
      <c r="F12" s="8" t="inlineStr"/>
      <c r="G12" s="15" t="inlineStr"/>
      <c r="H12" s="8" t="inlineStr"/>
      <c r="I12" s="15" t="inlineStr"/>
      <c r="J12" s="15" t="inlineStr"/>
    </row>
    <row r="13">
      <c r="A13" s="16" t="inlineStr">
        <is>
          <t>TC-AUTH-12</t>
        </is>
      </c>
      <c r="B13" s="15" t="inlineStr">
        <is>
          <t>Rate limiting</t>
        </is>
      </c>
      <c r="C13" s="15" t="inlineStr">
        <is>
          <t>Fire &gt;20 login attempts in 15 min</t>
        </is>
      </c>
      <c r="D13" s="15" t="inlineStr">
        <is>
          <t>Later attempts 429 'Too many auth attempts'</t>
        </is>
      </c>
      <c r="E13" s="17" t="inlineStr">
        <is>
          <t>S3</t>
        </is>
      </c>
      <c r="F13" s="8" t="inlineStr"/>
      <c r="G13" s="15" t="inlineStr"/>
      <c r="H13" s="8" t="inlineStr"/>
      <c r="I13" s="15" t="inlineStr"/>
      <c r="J13" s="15" t="inlineStr"/>
    </row>
  </sheetData>
  <dataValidations count="1">
    <dataValidation sqref="F2 F3 F4 F5 F6 F7 F8 F9 F10 F11 F12 F13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TC-RBAC-01</t>
        </is>
      </c>
      <c r="B2" s="13" t="inlineStr">
        <is>
          <t>Admin sees everything</t>
        </is>
      </c>
      <c r="C2" s="13" t="inlineStr">
        <is>
          <t>Login admin</t>
        </is>
      </c>
      <c r="D2" s="13" t="inlineStr">
        <is>
          <t>Sidebar: Farmers, Carbon, Map, LSM, dMRV Registry (all 6), Lab Portal, Smart Farming, Analytics, Audit Log, Settings</t>
        </is>
      </c>
      <c r="E2" s="18" t="inlineStr">
        <is>
          <t>S2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TC-RBAC-02</t>
        </is>
      </c>
      <c r="B3" s="15" t="inlineStr">
        <is>
          <t>Field Officer nav</t>
        </is>
      </c>
      <c r="C3" s="15" t="inlineStr">
        <is>
          <t>Login officer</t>
        </is>
      </c>
      <c r="D3" s="15" t="inlineStr">
        <is>
          <t>dMRV Registry + Smart Farming; no Audit Log</t>
        </is>
      </c>
      <c r="E3" s="18" t="inlineStr">
        <is>
          <t>S2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TC-RBAC-03</t>
        </is>
      </c>
      <c r="B4" s="13" t="inlineStr">
        <is>
          <t>Lab Technician nav</t>
        </is>
      </c>
      <c r="C4" s="13" t="inlineStr">
        <is>
          <t>Login lab</t>
        </is>
      </c>
      <c r="D4" s="13" t="inlineStr">
        <is>
          <t>Lab Portal; no dMRV Registry or Smart Farming</t>
        </is>
      </c>
      <c r="E4" s="18" t="inlineStr">
        <is>
          <t>S2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TC-RBAC-04</t>
        </is>
      </c>
      <c r="B5" s="15" t="inlineStr">
        <is>
          <t>VVB Auditor nav</t>
        </is>
      </c>
      <c r="C5" s="15" t="inlineStr">
        <is>
          <t>Login auditor</t>
        </is>
      </c>
      <c r="D5" s="15" t="inlineStr">
        <is>
          <t>dMRV Registry + Audit Log; 'Read-only audit access' badge; no create/edit buttons</t>
        </is>
      </c>
      <c r="E5" s="14" t="inlineStr">
        <is>
          <t>S1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TC-RBAC-05</t>
        </is>
      </c>
      <c r="B6" s="13" t="inlineStr">
        <is>
          <t>Farmer nav</t>
        </is>
      </c>
      <c r="C6" s="13" t="inlineStr">
        <is>
          <t>Login farmer</t>
        </is>
      </c>
      <c r="D6" s="13" t="inlineStr">
        <is>
          <t>Dashboard + My Farm Impact + Smart Farming; no dMRV Registry/Audit</t>
        </is>
      </c>
      <c r="E6" s="14" t="inlineStr">
        <is>
          <t>S1</t>
        </is>
      </c>
      <c r="F6" s="8" t="inlineStr"/>
      <c r="G6" s="15" t="inlineStr"/>
      <c r="H6" s="8" t="inlineStr"/>
      <c r="I6" s="15" t="inlineStr"/>
      <c r="J6" s="15" t="inlineStr"/>
    </row>
    <row r="7">
      <c r="A7" s="16" t="inlineStr">
        <is>
          <t>TC-RBAC-06</t>
        </is>
      </c>
      <c r="B7" s="15" t="inlineStr">
        <is>
          <t>Auditor write blocked (API)</t>
        </is>
      </c>
      <c r="C7" s="15" t="inlineStr">
        <is>
          <t>As auditor, any POST/PATCH via console/curl</t>
        </is>
      </c>
      <c r="D7" s="15" t="inlineStr">
        <is>
          <t>403 'VVB Auditor access is strictly read-only'</t>
        </is>
      </c>
      <c r="E7" s="14" t="inlineStr">
        <is>
          <t>S1</t>
        </is>
      </c>
      <c r="F7" s="8" t="inlineStr"/>
      <c r="G7" s="15" t="inlineStr"/>
      <c r="H7" s="8" t="inlineStr"/>
      <c r="I7" s="15" t="inlineStr"/>
      <c r="J7" s="15" t="inlineStr"/>
    </row>
    <row r="8">
      <c r="A8" s="12" t="inlineStr">
        <is>
          <t>TC-RBAC-07</t>
        </is>
      </c>
      <c r="B8" s="13" t="inlineStr">
        <is>
          <t>Farmer cannot create batch</t>
        </is>
      </c>
      <c r="C8" s="13" t="inlineStr">
        <is>
          <t>As farmer, POST /api/v1/biochar</t>
        </is>
      </c>
      <c r="D8" s="13" t="inlineStr">
        <is>
          <t>403 Insufficient permissions</t>
        </is>
      </c>
      <c r="E8" s="14" t="inlineStr">
        <is>
          <t>S1</t>
        </is>
      </c>
      <c r="F8" s="8" t="inlineStr"/>
      <c r="G8" s="15" t="inlineStr"/>
      <c r="H8" s="8" t="inlineStr"/>
      <c r="I8" s="15" t="inlineStr"/>
      <c r="J8" s="15" t="inlineStr"/>
    </row>
    <row r="9">
      <c r="A9" s="16" t="inlineStr">
        <is>
          <t>TC-RBAC-08</t>
        </is>
      </c>
      <c r="B9" s="15" t="inlineStr">
        <is>
          <t>Officer cannot edit historical batch</t>
        </is>
      </c>
      <c r="C9" s="15" t="inlineStr">
        <is>
          <t>As officer, PATCH /api/v1/biochar/:id</t>
        </is>
      </c>
      <c r="D9" s="15" t="inlineStr">
        <is>
          <t>403 (edits admin-only)</t>
        </is>
      </c>
      <c r="E9" s="18" t="inlineStr">
        <is>
          <t>S2</t>
        </is>
      </c>
      <c r="F9" s="8" t="inlineStr"/>
      <c r="G9" s="15" t="inlineStr"/>
      <c r="H9" s="8" t="inlineStr"/>
      <c r="I9" s="15" t="inlineStr"/>
      <c r="J9" s="15" t="inlineStr"/>
    </row>
    <row r="10">
      <c r="A10" s="12" t="inlineStr">
        <is>
          <t>TC-RBAC-09</t>
        </is>
      </c>
      <c r="B10" s="13" t="inlineStr">
        <is>
          <t>Officer cannot enter lab results</t>
        </is>
      </c>
      <c r="C10" s="13" t="inlineStr">
        <is>
          <t>As officer, POST /api/v1/samples/:id/results</t>
        </is>
      </c>
      <c r="D10" s="13" t="inlineStr">
        <is>
          <t>403 (chemistry lab-owned)</t>
        </is>
      </c>
      <c r="E10" s="14" t="inlineStr">
        <is>
          <t>S1</t>
        </is>
      </c>
      <c r="F10" s="8" t="inlineStr"/>
      <c r="G10" s="15" t="inlineStr"/>
      <c r="H10" s="8" t="inlineStr"/>
      <c r="I10" s="15" t="inlineStr"/>
      <c r="J10" s="15" t="inlineStr"/>
    </row>
    <row r="11">
      <c r="A11" s="16" t="inlineStr">
        <is>
          <t>TC-RBAC-10</t>
        </is>
      </c>
      <c r="B11" s="15" t="inlineStr">
        <is>
          <t>Farmer cannot view another farm</t>
        </is>
      </c>
      <c r="C11" s="15" t="inlineStr">
        <is>
          <t>As farmer, GET /api/v1/impact/{other-db-id}</t>
        </is>
      </c>
      <c r="D11" s="15" t="inlineStr">
        <is>
          <t>403 'may only view their own dashboard'</t>
        </is>
      </c>
      <c r="E11" s="14" t="inlineStr">
        <is>
          <t>S1</t>
        </is>
      </c>
      <c r="F11" s="8" t="inlineStr"/>
      <c r="G11" s="15" t="inlineStr"/>
      <c r="H11" s="8" t="inlineStr"/>
      <c r="I11" s="15" t="inlineStr"/>
      <c r="J11" s="15" t="inlineStr"/>
    </row>
    <row r="12">
      <c r="A12" s="12" t="inlineStr">
        <is>
          <t>TC-RBAC-11</t>
        </is>
      </c>
      <c r="B12" s="13" t="inlineStr">
        <is>
          <t>Audit log admin/auditor only</t>
        </is>
      </c>
      <c r="C12" s="13" t="inlineStr">
        <is>
          <t>As farmer/officer, GET /api/v1/audit</t>
        </is>
      </c>
      <c r="D12" s="13" t="inlineStr">
        <is>
          <t>403</t>
        </is>
      </c>
      <c r="E12" s="18" t="inlineStr">
        <is>
          <t>S2</t>
        </is>
      </c>
      <c r="F12" s="8" t="inlineStr"/>
      <c r="G12" s="15" t="inlineStr"/>
      <c r="H12" s="8" t="inlineStr"/>
      <c r="I12" s="15" t="inlineStr"/>
      <c r="J12" s="15" t="inlineStr"/>
    </row>
  </sheetData>
  <dataValidations count="1">
    <dataValidation sqref="F2 F3 F4 F5 F6 F7 F8 F9 F10 F11 F12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TC-FARM-01</t>
        </is>
      </c>
      <c r="B2" s="13" t="inlineStr">
        <is>
          <t>Farmers list loads (live)</t>
        </is>
      </c>
      <c r="C2" s="13" t="inlineStr">
        <is>
          <t>Admin -&gt; Farmers</t>
        </is>
      </c>
      <c r="D2" s="13" t="inlineStr">
        <is>
          <t>List from API; green 'Live data' badge</t>
        </is>
      </c>
      <c r="E2" s="14" t="inlineStr">
        <is>
          <t>S1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TC-FARM-02</t>
        </is>
      </c>
      <c r="B3" s="15" t="inlineStr">
        <is>
          <t>Search</t>
        </is>
      </c>
      <c r="C3" s="15" t="inlineStr">
        <is>
          <t>Type name/farm/farmer ID</t>
        </is>
      </c>
      <c r="D3" s="15" t="inlineStr">
        <is>
          <t>List filters to matches</t>
        </is>
      </c>
      <c r="E3" s="17" t="inlineStr">
        <is>
          <t>S3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TC-FARM-03</t>
        </is>
      </c>
      <c r="B4" s="13" t="inlineStr">
        <is>
          <t>Province &amp; status filter</t>
        </is>
      </c>
      <c r="C4" s="13" t="inlineStr">
        <is>
          <t>Apply filters</t>
        </is>
      </c>
      <c r="D4" s="13" t="inlineStr">
        <is>
          <t>Only matching rows; reset clears</t>
        </is>
      </c>
      <c r="E4" s="17" t="inlineStr">
        <is>
          <t>S3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TC-FARM-04</t>
        </is>
      </c>
      <c r="B5" s="15" t="inlineStr">
        <is>
          <t>Farmer detail</t>
        </is>
      </c>
      <c r="C5" s="15" t="inlineStr">
        <is>
          <t>Click a farmer row</t>
        </is>
      </c>
      <c r="D5" s="15" t="inlineStr">
        <is>
          <t>Profile, carbon history chart, alerts</t>
        </is>
      </c>
      <c r="E5" s="18" t="inlineStr">
        <is>
          <t>S2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TC-FARM-05</t>
        </is>
      </c>
      <c r="B6" s="13" t="inlineStr">
        <is>
          <t>Unique farmer ID format</t>
        </is>
      </c>
      <c r="C6" s="13" t="inlineStr">
        <is>
          <t>Inspect / register new</t>
        </is>
      </c>
      <c r="D6" s="13" t="inlineStr">
        <is>
          <t>Matches CSA-YYYY-NNNNN; sequential, unique</t>
        </is>
      </c>
      <c r="E6" s="18" t="inlineStr">
        <is>
          <t>S2</t>
        </is>
      </c>
      <c r="F6" s="8" t="inlineStr"/>
      <c r="G6" s="15" t="inlineStr"/>
      <c r="H6" s="8" t="inlineStr"/>
      <c r="I6" s="15" t="inlineStr"/>
      <c r="J6" s="15" t="inlineStr"/>
    </row>
    <row r="7">
      <c r="A7" s="16" t="inlineStr">
        <is>
          <t>TC-FARM-06</t>
        </is>
      </c>
      <c r="B7" s="15" t="inlineStr">
        <is>
          <t>Update status</t>
        </is>
      </c>
      <c r="C7" s="15" t="inlineStr">
        <is>
          <t>Change status active/inactive/pending</t>
        </is>
      </c>
      <c r="D7" s="15" t="inlineStr">
        <is>
          <t>Persists after refresh; toast</t>
        </is>
      </c>
      <c r="E7" s="18" t="inlineStr">
        <is>
          <t>S2</t>
        </is>
      </c>
      <c r="F7" s="8" t="inlineStr"/>
      <c r="G7" s="15" t="inlineStr"/>
      <c r="H7" s="8" t="inlineStr"/>
      <c r="I7" s="15" t="inlineStr"/>
      <c r="J7" s="15" t="inlineStr"/>
    </row>
    <row r="8">
      <c r="A8" s="12" t="inlineStr">
        <is>
          <t>TC-FARM-07</t>
        </is>
      </c>
      <c r="B8" s="13" t="inlineStr">
        <is>
          <t>Mock fallback</t>
        </is>
      </c>
      <c r="C8" s="13" t="inlineStr">
        <is>
          <t>Stop backend, open Farmers</t>
        </is>
      </c>
      <c r="D8" s="13" t="inlineStr">
        <is>
          <t>Renders with 'Demo data' badge (no crash)</t>
        </is>
      </c>
      <c r="E8" s="18" t="inlineStr">
        <is>
          <t>S2</t>
        </is>
      </c>
      <c r="F8" s="8" t="inlineStr"/>
      <c r="G8" s="15" t="inlineStr"/>
      <c r="H8" s="8" t="inlineStr"/>
      <c r="I8" s="15" t="inlineStr"/>
      <c r="J8" s="15" t="inlineStr"/>
    </row>
  </sheetData>
  <dataValidations count="1">
    <dataValidation sqref="F2 F3 F4 F5 F6 F7 F8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TC-BIO-01</t>
        </is>
      </c>
      <c r="B2" s="13" t="inlineStr">
        <is>
          <t>Mass-balance cards</t>
        </is>
      </c>
      <c r="C2" s="13" t="inlineStr">
        <is>
          <t>Open /dmrv/biochar</t>
        </is>
      </c>
      <c r="D2" s="13" t="inlineStr">
        <is>
          <t>4 cards Produced/Shipped/Applied/Remaining; Produced-Shipped-Applied=Remaining</t>
        </is>
      </c>
      <c r="E2" s="14" t="inlineStr">
        <is>
          <t>S1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TC-BIO-02</t>
        </is>
      </c>
      <c r="B3" s="15" t="inlineStr">
        <is>
          <t>Production log table</t>
        </is>
      </c>
      <c r="C3" s="15" t="inlineStr">
        <is>
          <t>Open page</t>
        </is>
      </c>
      <c r="D3" s="15" t="inlineStr">
        <is>
          <t>BC-2026-001..004 with feedstock badge, temp, weight, region, dCoC, eligibility</t>
        </is>
      </c>
      <c r="E3" s="14" t="inlineStr">
        <is>
          <t>S1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TC-BIO-03</t>
        </is>
      </c>
      <c r="B4" s="13" t="inlineStr">
        <is>
          <t>dCoC status colours</t>
        </is>
      </c>
      <c r="C4" s="13" t="inlineStr">
        <is>
          <t>Inspect status column</t>
        </is>
      </c>
      <c r="D4" s="13" t="inlineStr">
        <is>
          <t>produced=gray, sampled/lab_received=orange, results_entered=green, rejected=red</t>
        </is>
      </c>
      <c r="E4" s="17" t="inlineStr">
        <is>
          <t>S3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TC-BIO-04</t>
        </is>
      </c>
      <c r="B5" s="15" t="inlineStr">
        <is>
          <t>GATE 1 - reject &lt;350C</t>
        </is>
      </c>
      <c r="C5" s="15" t="inlineStr">
        <is>
          <t>New Production Log, temp 300, submit</t>
        </is>
      </c>
      <c r="D5" s="15" t="inlineStr">
        <is>
          <t>BLOCKED; red banner '...minimum of 350C...'; no row created</t>
        </is>
      </c>
      <c r="E5" s="14" t="inlineStr">
        <is>
          <t>S1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TC-BIO-05</t>
        </is>
      </c>
      <c r="B6" s="13" t="inlineStr">
        <is>
          <t>Gate 1 - accept &gt;=350C</t>
        </is>
      </c>
      <c r="C6" s="13" t="inlineStr">
        <is>
          <t>New Production Log, temp 520, submit</t>
        </is>
      </c>
      <c r="D6" s="13" t="inlineStr">
        <is>
          <t>201; new batch appears; dCoC=Produced; not yet eligible</t>
        </is>
      </c>
      <c r="E6" s="14" t="inlineStr">
        <is>
          <t>S1</t>
        </is>
      </c>
      <c r="F6" s="8" t="inlineStr"/>
      <c r="G6" s="15" t="inlineStr"/>
      <c r="H6" s="8" t="inlineStr"/>
      <c r="I6" s="15" t="inlineStr"/>
      <c r="J6" s="15" t="inlineStr"/>
    </row>
    <row r="7">
      <c r="A7" s="16" t="inlineStr">
        <is>
          <t>TC-BIO-06</t>
        </is>
      </c>
      <c r="B7" s="15" t="inlineStr">
        <is>
          <t>Batch number sequence</t>
        </is>
      </c>
      <c r="C7" s="15" t="inlineStr">
        <is>
          <t>Create two batches</t>
        </is>
      </c>
      <c r="D7" s="15" t="inlineStr">
        <is>
          <t>Numbers increment BC-2026-005, -006</t>
        </is>
      </c>
      <c r="E7" s="17" t="inlineStr">
        <is>
          <t>S3</t>
        </is>
      </c>
      <c r="F7" s="8" t="inlineStr"/>
      <c r="G7" s="15" t="inlineStr"/>
      <c r="H7" s="8" t="inlineStr"/>
      <c r="I7" s="15" t="inlineStr"/>
      <c r="J7" s="15" t="inlineStr"/>
    </row>
    <row r="8">
      <c r="A8" s="12" t="inlineStr">
        <is>
          <t>TC-BIO-07</t>
        </is>
      </c>
      <c r="B8" s="13" t="inlineStr">
        <is>
          <t>Log shipment</t>
        </is>
      </c>
      <c r="C8" s="13" t="inlineStr">
        <is>
          <t>Manage modal -&gt; Log Shipment</t>
        </is>
      </c>
      <c r="D8" s="13" t="inlineStr">
        <is>
          <t>Shipment added; Remaining decreases</t>
        </is>
      </c>
      <c r="E8" s="18" t="inlineStr">
        <is>
          <t>S2</t>
        </is>
      </c>
      <c r="F8" s="8" t="inlineStr"/>
      <c r="G8" s="15" t="inlineStr"/>
      <c r="H8" s="8" t="inlineStr"/>
      <c r="I8" s="15" t="inlineStr"/>
      <c r="J8" s="15" t="inlineStr"/>
    </row>
    <row r="9">
      <c r="A9" s="16" t="inlineStr">
        <is>
          <t>TC-BIO-08</t>
        </is>
      </c>
      <c r="B9" s="15" t="inlineStr">
        <is>
          <t>Mass-balance guard (over-ship)</t>
        </is>
      </c>
      <c r="C9" s="15" t="inlineStr">
        <is>
          <t>Ship more than Remaining</t>
        </is>
      </c>
      <c r="D9" s="15" t="inlineStr">
        <is>
          <t>422 'only X t remain...'; nothing saved</t>
        </is>
      </c>
      <c r="E9" s="14" t="inlineStr">
        <is>
          <t>S1</t>
        </is>
      </c>
      <c r="F9" s="8" t="inlineStr"/>
      <c r="G9" s="15" t="inlineStr"/>
      <c r="H9" s="8" t="inlineStr"/>
      <c r="I9" s="15" t="inlineStr"/>
      <c r="J9" s="15" t="inlineStr"/>
    </row>
    <row r="10">
      <c r="A10" s="12" t="inlineStr">
        <is>
          <t>TC-BIO-09</t>
        </is>
      </c>
      <c r="B10" s="13" t="inlineStr">
        <is>
          <t>Log application</t>
        </is>
      </c>
      <c r="C10" s="13" t="inlineStr">
        <is>
          <t>Manage modal -&gt; Log Application</t>
        </is>
      </c>
      <c r="D10" s="13" t="inlineStr">
        <is>
          <t>Application added; Remaining decreases; farmer CO2e reflects</t>
        </is>
      </c>
      <c r="E10" s="18" t="inlineStr">
        <is>
          <t>S2</t>
        </is>
      </c>
      <c r="F10" s="8" t="inlineStr"/>
      <c r="G10" s="15" t="inlineStr"/>
      <c r="H10" s="8" t="inlineStr"/>
      <c r="I10" s="15" t="inlineStr"/>
      <c r="J10" s="15" t="inlineStr"/>
    </row>
    <row r="11">
      <c r="A11" s="16" t="inlineStr">
        <is>
          <t>TC-BIO-10</t>
        </is>
      </c>
      <c r="B11" s="15" t="inlineStr">
        <is>
          <t>Over-apply guard</t>
        </is>
      </c>
      <c r="C11" s="15" t="inlineStr">
        <is>
          <t>Apply more than Remaining</t>
        </is>
      </c>
      <c r="D11" s="15" t="inlineStr">
        <is>
          <t>422 mass-balance error; nothing saved</t>
        </is>
      </c>
      <c r="E11" s="18" t="inlineStr">
        <is>
          <t>S2</t>
        </is>
      </c>
      <c r="F11" s="8" t="inlineStr"/>
      <c r="G11" s="15" t="inlineStr"/>
      <c r="H11" s="8" t="inlineStr"/>
      <c r="I11" s="15" t="inlineStr"/>
      <c r="J11" s="15" t="inlineStr"/>
    </row>
    <row r="12">
      <c r="A12" s="12" t="inlineStr">
        <is>
          <t>TC-BIO-11</t>
        </is>
      </c>
      <c r="B12" s="13" t="inlineStr">
        <is>
          <t>Field validation</t>
        </is>
      </c>
      <c r="C12" s="13" t="inlineStr">
        <is>
          <t>Blank/negative weight</t>
        </is>
      </c>
      <c r="D12" s="13" t="inlineStr">
        <is>
          <t>Inline validation; request rejected</t>
        </is>
      </c>
      <c r="E12" s="17" t="inlineStr">
        <is>
          <t>S3</t>
        </is>
      </c>
      <c r="F12" s="8" t="inlineStr"/>
      <c r="G12" s="15" t="inlineStr"/>
      <c r="H12" s="8" t="inlineStr"/>
      <c r="I12" s="15" t="inlineStr"/>
      <c r="J12" s="15" t="inlineStr"/>
    </row>
  </sheetData>
  <dataValidations count="1">
    <dataValidation sqref="F2 F3 F4 F5 F6 F7 F8 F9 F10 F11 F12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TC-DCOC-01</t>
        </is>
      </c>
      <c r="B2" s="13" t="inlineStr">
        <is>
          <t>Traffic-light legend</t>
        </is>
      </c>
      <c r="C2" s="13" t="inlineStr">
        <is>
          <t>Open /dmrv/dcoc</t>
        </is>
      </c>
      <c r="D2" s="13" t="inlineStr">
        <is>
          <t>Legend Yellow/Orange/Green/Red explained</t>
        </is>
      </c>
      <c r="E2" s="17" t="inlineStr">
        <is>
          <t>S3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TC-DCOC-02</t>
        </is>
      </c>
      <c r="B3" s="15" t="inlineStr">
        <is>
          <t>Status counts</t>
        </is>
      </c>
      <c r="C3" s="15" t="inlineStr">
        <is>
          <t>Open page</t>
        </is>
      </c>
      <c r="D3" s="15" t="inlineStr">
        <is>
          <t>Count cards match table totals</t>
        </is>
      </c>
      <c r="E3" s="17" t="inlineStr">
        <is>
          <t>S3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TC-DCOC-03</t>
        </is>
      </c>
      <c r="B4" s="13" t="inlineStr">
        <is>
          <t>Sample table</t>
        </is>
      </c>
      <c r="C4" s="13" t="inlineStr">
        <is>
          <t>Open page</t>
        </is>
      </c>
      <c r="D4" s="13" t="inlineStr">
        <is>
          <t>SS-2026-0001..0005 with status badge, batch, farmer, waybill, date, photo thumb</t>
        </is>
      </c>
      <c r="E4" s="18" t="inlineStr">
        <is>
          <t>S2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TC-DCOC-04</t>
        </is>
      </c>
      <c r="B5" s="15" t="inlineStr">
        <is>
          <t>Photo &amp; certificate links</t>
        </is>
      </c>
      <c r="C5" s="15" t="inlineStr">
        <is>
          <t>Click photo / certificate on Green sample</t>
        </is>
      </c>
      <c r="D5" s="15" t="inlineStr">
        <is>
          <t>Photo opens; lab PDF opens in new tab</t>
        </is>
      </c>
      <c r="E5" s="18" t="inlineStr">
        <is>
          <t>S2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TC-DCOC-05</t>
        </is>
      </c>
      <c r="B6" s="13" t="inlineStr">
        <is>
          <t>Evidence lock - no photo</t>
        </is>
      </c>
      <c r="C6" s="13" t="inlineStr">
        <is>
          <t>Create sample without photo</t>
        </is>
      </c>
      <c r="D6" s="13" t="inlineStr">
        <is>
          <t>Blocked; 'geotagged field photo must be attached...'</t>
        </is>
      </c>
      <c r="E6" s="14" t="inlineStr">
        <is>
          <t>S1</t>
        </is>
      </c>
      <c r="F6" s="8" t="inlineStr"/>
      <c r="G6" s="15" t="inlineStr"/>
      <c r="H6" s="8" t="inlineStr"/>
      <c r="I6" s="15" t="inlineStr"/>
      <c r="J6" s="15" t="inlineStr"/>
    </row>
    <row r="7">
      <c r="A7" s="16" t="inlineStr">
        <is>
          <t>TC-DCOC-06</t>
        </is>
      </c>
      <c r="B7" s="15" t="inlineStr">
        <is>
          <t>Log field sample (happy)</t>
        </is>
      </c>
      <c r="C7" s="15" t="inlineStr">
        <is>
          <t>Upload photo -&gt; create sample with batch</t>
        </is>
      </c>
      <c r="D7" s="15" t="inlineStr">
        <is>
          <t>Photo uploads; sample = Yellow-Sampled; new SS code</t>
        </is>
      </c>
      <c r="E7" s="14" t="inlineStr">
        <is>
          <t>S1</t>
        </is>
      </c>
      <c r="F7" s="8" t="inlineStr"/>
      <c r="G7" s="15" t="inlineStr"/>
      <c r="H7" s="8" t="inlineStr"/>
      <c r="I7" s="15" t="inlineStr"/>
      <c r="J7" s="15" t="inlineStr"/>
    </row>
    <row r="8">
      <c r="A8" s="12" t="inlineStr">
        <is>
          <t>TC-DCOC-07</t>
        </is>
      </c>
      <c r="B8" s="13" t="inlineStr">
        <is>
          <t>Geo verify - inside boundary</t>
        </is>
      </c>
      <c r="C8" s="13" t="inlineStr">
        <is>
          <t>Upload photo GPS inside plot</t>
        </is>
      </c>
      <c r="D8" s="13" t="inlineStr">
        <is>
          <t>Badge 'Verified Location' (green)</t>
        </is>
      </c>
      <c r="E8" s="18" t="inlineStr">
        <is>
          <t>S2</t>
        </is>
      </c>
      <c r="F8" s="8" t="inlineStr"/>
      <c r="G8" s="15" t="inlineStr"/>
      <c r="H8" s="8" t="inlineStr"/>
      <c r="I8" s="15" t="inlineStr"/>
      <c r="J8" s="15" t="inlineStr"/>
    </row>
    <row r="9">
      <c r="A9" s="16" t="inlineStr">
        <is>
          <t>TC-DCOC-08</t>
        </is>
      </c>
      <c r="B9" s="15" t="inlineStr">
        <is>
          <t>Geo verify - outside boundary</t>
        </is>
      </c>
      <c r="C9" s="15" t="inlineStr">
        <is>
          <t>Upload photo GPS outside plot</t>
        </is>
      </c>
      <c r="D9" s="15" t="inlineStr">
        <is>
          <t>Flagged 'Boundary Mismatch'; admin audit alert raised</t>
        </is>
      </c>
      <c r="E9" s="14" t="inlineStr">
        <is>
          <t>S1</t>
        </is>
      </c>
      <c r="F9" s="8" t="inlineStr"/>
      <c r="G9" s="15" t="inlineStr"/>
      <c r="H9" s="8" t="inlineStr"/>
      <c r="I9" s="15" t="inlineStr"/>
      <c r="J9" s="15" t="inlineStr"/>
    </row>
  </sheetData>
  <dataValidations count="1">
    <dataValidation sqref="F2 F3 F4 F5 F6 F7 F8 F9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TC-LAB-01</t>
        </is>
      </c>
      <c r="B2" s="13" t="inlineStr">
        <is>
          <t>Queue renders</t>
        </is>
      </c>
      <c r="C2" s="13" t="inlineStr">
        <is>
          <t>Login lab, open /lab</t>
        </is>
      </c>
      <c r="D2" s="13" t="inlineStr">
        <is>
          <t>Sample Queue + Completed table with C-org, H/C, heavy-metals</t>
        </is>
      </c>
      <c r="E2" s="14" t="inlineStr">
        <is>
          <t>S1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TC-LAB-02</t>
        </is>
      </c>
      <c r="B3" s="15" t="inlineStr">
        <is>
          <t>Log receipt (-&gt;Orange)</t>
        </is>
      </c>
      <c r="C3" s="15" t="inlineStr">
        <is>
          <t>'sampled' row -&gt; Log Receipt -&gt; waybill</t>
        </is>
      </c>
      <c r="D3" s="15" t="inlineStr">
        <is>
          <t>Advances to lab_received</t>
        </is>
      </c>
      <c r="E3" s="14" t="inlineStr">
        <is>
          <t>S1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TC-LAB-03</t>
        </is>
      </c>
      <c r="B4" s="13" t="inlineStr">
        <is>
          <t>Evidence lock - no waybill</t>
        </is>
      </c>
      <c r="C4" s="13" t="inlineStr">
        <is>
          <t>Log Receipt blank waybill</t>
        </is>
      </c>
      <c r="D4" s="13" t="inlineStr">
        <is>
          <t>Blocked; 'waybill / tracking number is required...'</t>
        </is>
      </c>
      <c r="E4" s="18" t="inlineStr">
        <is>
          <t>S2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TC-LAB-04</t>
        </is>
      </c>
      <c r="B5" s="15" t="inlineStr">
        <is>
          <t>Evidence lock - no PDF</t>
        </is>
      </c>
      <c r="C5" s="15" t="inlineStr">
        <is>
          <t>Enter Results without certificate</t>
        </is>
      </c>
      <c r="D5" s="15" t="inlineStr">
        <is>
          <t>Blocked; 'lab certificate PDF must be attached...'</t>
        </is>
      </c>
      <c r="E5" s="14" t="inlineStr">
        <is>
          <t>S1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TC-LAB-05</t>
        </is>
      </c>
      <c r="B6" s="13" t="inlineStr">
        <is>
          <t>Enter results (Green PASS)</t>
        </is>
      </c>
      <c r="C6" s="13" t="inlineStr">
        <is>
          <t>Upload PDF, C-org 75, H:C 0.45, metals Pass</t>
        </is>
      </c>
      <c r="D6" s="13" t="inlineStr">
        <is>
          <t>Success 'verified (Green)'; batch becomes issuance-eligible</t>
        </is>
      </c>
      <c r="E6" s="14" t="inlineStr">
        <is>
          <t>S1</t>
        </is>
      </c>
      <c r="F6" s="8" t="inlineStr"/>
      <c r="G6" s="15" t="inlineStr"/>
      <c r="H6" s="8" t="inlineStr"/>
      <c r="I6" s="15" t="inlineStr"/>
      <c r="J6" s="15" t="inlineStr"/>
    </row>
    <row r="7">
      <c r="A7" s="16" t="inlineStr">
        <is>
          <t>TC-LAB-06</t>
        </is>
      </c>
      <c r="B7" s="15" t="inlineStr">
        <is>
          <t>GATE 3 - high H:C</t>
        </is>
      </c>
      <c r="C7" s="15" t="inlineStr">
        <is>
          <t>Enter Results H:C 0.82, metals Pass</t>
        </is>
      </c>
      <c r="D7" s="15" t="inlineStr">
        <is>
          <t>Saved but CRITICAL 'permanently locked'; sample=Rejected; batch locked</t>
        </is>
      </c>
      <c r="E7" s="14" t="inlineStr">
        <is>
          <t>S1</t>
        </is>
      </c>
      <c r="F7" s="8" t="inlineStr"/>
      <c r="G7" s="15" t="inlineStr"/>
      <c r="H7" s="8" t="inlineStr"/>
      <c r="I7" s="15" t="inlineStr"/>
      <c r="J7" s="15" t="inlineStr"/>
    </row>
    <row r="8">
      <c r="A8" s="12" t="inlineStr">
        <is>
          <t>TC-LAB-07</t>
        </is>
      </c>
      <c r="B8" s="13" t="inlineStr">
        <is>
          <t>GATE 3 - heavy metals fail</t>
        </is>
      </c>
      <c r="C8" s="13" t="inlineStr">
        <is>
          <t>Enter Results H:C 0.4, metals Fail</t>
        </is>
      </c>
      <c r="D8" s="13" t="inlineStr">
        <is>
          <t>Rejected + locked (as TC-LAB-06)</t>
        </is>
      </c>
      <c r="E8" s="14" t="inlineStr">
        <is>
          <t>S1</t>
        </is>
      </c>
      <c r="F8" s="8" t="inlineStr"/>
      <c r="G8" s="15" t="inlineStr"/>
      <c r="H8" s="8" t="inlineStr"/>
      <c r="I8" s="15" t="inlineStr"/>
      <c r="J8" s="15" t="inlineStr"/>
    </row>
    <row r="9">
      <c r="A9" s="16" t="inlineStr">
        <is>
          <t>TC-LAB-08</t>
        </is>
      </c>
      <c r="B9" s="15" t="inlineStr">
        <is>
          <t>Results immutable</t>
        </is>
      </c>
      <c r="C9" s="15" t="inlineStr">
        <is>
          <t>Enter results again on completed sample</t>
        </is>
      </c>
      <c r="D9" s="15" t="inlineStr">
        <is>
          <t>409 'results already entered / immutable'</t>
        </is>
      </c>
      <c r="E9" s="18" t="inlineStr">
        <is>
          <t>S2</t>
        </is>
      </c>
      <c r="F9" s="8" t="inlineStr"/>
      <c r="G9" s="15" t="inlineStr"/>
      <c r="H9" s="8" t="inlineStr"/>
      <c r="I9" s="15" t="inlineStr"/>
      <c r="J9" s="15" t="inlineStr"/>
    </row>
    <row r="10">
      <c r="A10" s="12" t="inlineStr">
        <is>
          <t>TC-LAB-09</t>
        </is>
      </c>
      <c r="B10" s="13" t="inlineStr">
        <is>
          <t>Order enforced</t>
        </is>
      </c>
      <c r="C10" s="13" t="inlineStr">
        <is>
          <t>Enter Results on 'sampled' (not received)</t>
        </is>
      </c>
      <c r="D10" s="13" t="inlineStr">
        <is>
          <t>422 must be received first</t>
        </is>
      </c>
      <c r="E10" s="18" t="inlineStr">
        <is>
          <t>S2</t>
        </is>
      </c>
      <c r="F10" s="8" t="inlineStr"/>
      <c r="G10" s="15" t="inlineStr"/>
      <c r="H10" s="8" t="inlineStr"/>
      <c r="I10" s="15" t="inlineStr"/>
      <c r="J10" s="15" t="inlineStr"/>
    </row>
    <row r="11">
      <c r="A11" s="16" t="inlineStr">
        <is>
          <t>TC-LAB-10</t>
        </is>
      </c>
      <c r="B11" s="15" t="inlineStr">
        <is>
          <t>Rejected batch propagation</t>
        </is>
      </c>
      <c r="C11" s="15" t="inlineStr">
        <is>
          <t>After TC-LAB-06 open Biochar &amp; Ledger</t>
        </is>
      </c>
      <c r="D11" s="15" t="inlineStr">
        <is>
          <t>Batch Rejected + not eligible; Ledger creditable=0</t>
        </is>
      </c>
      <c r="E11" s="14" t="inlineStr">
        <is>
          <t>S1</t>
        </is>
      </c>
      <c r="F11" s="8" t="inlineStr"/>
      <c r="G11" s="15" t="inlineStr"/>
      <c r="H11" s="8" t="inlineStr"/>
      <c r="I11" s="15" t="inlineStr"/>
      <c r="J11" s="15" t="inlineStr"/>
    </row>
  </sheetData>
  <dataValidations count="1">
    <dataValidation sqref="F2 F3 F4 F5 F6 F7 F8 F9 F10 F11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TC-CAM-01</t>
        </is>
      </c>
      <c r="B2" s="13" t="inlineStr">
        <is>
          <t>Grid renders</t>
        </is>
      </c>
      <c r="C2" s="13" t="inlineStr">
        <is>
          <t>Open /dmrv/camera-log</t>
        </is>
      </c>
      <c r="D2" s="13" t="inlineStr">
        <is>
          <t>Photo cards in responsive grid; images load</t>
        </is>
      </c>
      <c r="E2" s="18" t="inlineStr">
        <is>
          <t>S2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TC-CAM-02</t>
        </is>
      </c>
      <c r="B3" s="15" t="inlineStr">
        <is>
          <t>Required metadata</t>
        </is>
      </c>
      <c r="C3" s="15" t="inlineStr">
        <is>
          <t>Inspect each card</t>
        </is>
      </c>
      <c r="D3" s="15" t="inlineStr">
        <is>
          <t>UTC timestamp, GPS to exactly 5 decimals, Device ID</t>
        </is>
      </c>
      <c r="E3" s="14" t="inlineStr">
        <is>
          <t>S1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TC-CAM-03</t>
        </is>
      </c>
      <c r="B4" s="13" t="inlineStr">
        <is>
          <t>Filter pills</t>
        </is>
      </c>
      <c r="C4" s="13" t="inlineStr">
        <is>
          <t>All/Verified/Flagged/Pending</t>
        </is>
      </c>
      <c r="D4" s="13" t="inlineStr">
        <is>
          <t>Grid filters; seeded flagged photo under 'Flagged'</t>
        </is>
      </c>
      <c r="E4" s="17" t="inlineStr">
        <is>
          <t>S3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TC-CAM-04</t>
        </is>
      </c>
      <c r="B5" s="15" t="inlineStr">
        <is>
          <t>Verification badges</t>
        </is>
      </c>
      <c r="C5" s="15" t="inlineStr">
        <is>
          <t>Inspect cards</t>
        </is>
      </c>
      <c r="D5" s="15" t="inlineStr">
        <is>
          <t>Verified=green, Boundary Mismatch=red, Pending=gray</t>
        </is>
      </c>
      <c r="E5" s="17" t="inlineStr">
        <is>
          <t>S3</t>
        </is>
      </c>
      <c r="F5" s="8" t="inlineStr"/>
      <c r="G5" s="15" t="inlineStr"/>
      <c r="H5" s="8" t="inlineStr"/>
      <c r="I5" s="15" t="inlineStr"/>
      <c r="J5" s="15" t="inlineStr"/>
    </row>
  </sheetData>
  <dataValidations count="1">
    <dataValidation sqref="F2 F3 F4 F5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TC-YIELD-01</t>
        </is>
      </c>
      <c r="B2" s="13" t="inlineStr">
        <is>
          <t>Summary + chart</t>
        </is>
      </c>
      <c r="C2" s="13" t="inlineStr">
        <is>
          <t>Open /dmrv/harvest</t>
        </is>
      </c>
      <c r="D2" s="13" t="inlineStr">
        <is>
          <t>Per region+crop plots, tonnes, Yield %, flagged; project vs control bar chart</t>
        </is>
      </c>
      <c r="E2" s="18" t="inlineStr">
        <is>
          <t>S2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TC-YIELD-02</t>
        </is>
      </c>
      <c r="B3" s="15" t="inlineStr">
        <is>
          <t>Yield calc sanity</t>
        </is>
      </c>
      <c r="C3" s="15" t="inlineStr">
        <is>
          <t>Compare Limpopo/Maize row</t>
        </is>
      </c>
      <c r="D3" s="15" t="inlineStr">
        <is>
          <t>% ~= (avg project dry - avg control dry)/control x100</t>
        </is>
      </c>
      <c r="E3" s="18" t="inlineStr">
        <is>
          <t>S2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TC-YIELD-03</t>
        </is>
      </c>
      <c r="B4" s="13" t="inlineStr">
        <is>
          <t>Record harvest (in-season)</t>
        </is>
      </c>
      <c r="C4" s="13" t="inlineStr">
        <is>
          <t>Limpopo Maize, in-window date, project</t>
        </is>
      </c>
      <c r="D4" s="13" t="inlineStr">
        <is>
          <t>201; row not flagged</t>
        </is>
      </c>
      <c r="E4" s="14" t="inlineStr">
        <is>
          <t>S1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TC-YIELD-04</t>
        </is>
      </c>
      <c r="B5" s="15" t="inlineStr">
        <is>
          <t>GATE 2 - out of season</t>
        </is>
      </c>
      <c r="C5" s="15" t="inlineStr">
        <is>
          <t>Limpopo Maize, date 2026-10-15 (&gt;30d past)</t>
        </is>
      </c>
      <c r="D5" s="15" t="inlineStr">
        <is>
          <t>Saved but amber '...Gold Standard VVB notification logged'; flagged</t>
        </is>
      </c>
      <c r="E5" s="14" t="inlineStr">
        <is>
          <t>S1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TC-YIELD-05</t>
        </is>
      </c>
      <c r="B6" s="13" t="inlineStr">
        <is>
          <t>Gate 2 - wrong crop</t>
        </is>
      </c>
      <c r="C6" s="13" t="inlineStr">
        <is>
          <t>Limpopo Tobacco, in-window</t>
        </is>
      </c>
      <c r="D6" s="13" t="inlineStr">
        <is>
          <t>Saved but flagged</t>
        </is>
      </c>
      <c r="E6" s="18" t="inlineStr">
        <is>
          <t>S2</t>
        </is>
      </c>
      <c r="F6" s="8" t="inlineStr"/>
      <c r="G6" s="15" t="inlineStr"/>
      <c r="H6" s="8" t="inlineStr"/>
      <c r="I6" s="15" t="inlineStr"/>
      <c r="J6" s="15" t="inlineStr"/>
    </row>
    <row r="7">
      <c r="A7" s="16" t="inlineStr">
        <is>
          <t>TC-YIELD-06</t>
        </is>
      </c>
      <c r="B7" s="15" t="inlineStr">
        <is>
          <t>Moisture normalisation</t>
        </is>
      </c>
      <c r="C7" s="15" t="inlineStr">
        <is>
          <t>Two harvests same wet weight, diff moisture</t>
        </is>
      </c>
      <c r="D7" s="15" t="inlineStr">
        <is>
          <t>Yield % uses dry weight</t>
        </is>
      </c>
      <c r="E7" s="17" t="inlineStr">
        <is>
          <t>S3</t>
        </is>
      </c>
      <c r="F7" s="8" t="inlineStr"/>
      <c r="G7" s="15" t="inlineStr"/>
      <c r="H7" s="8" t="inlineStr"/>
      <c r="I7" s="15" t="inlineStr"/>
      <c r="J7" s="15" t="inlineStr"/>
    </row>
  </sheetData>
  <dataValidations count="1">
    <dataValidation sqref="F2 F3 F4 F5 F6 F7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TC-SEA-01</t>
        </is>
      </c>
      <c r="B2" s="13" t="inlineStr">
        <is>
          <t>Plans table</t>
        </is>
      </c>
      <c r="C2" s="13" t="inlineStr">
        <is>
          <t>Open /dmrv/seasonality</t>
        </is>
      </c>
      <c r="D2" s="13" t="inlineStr">
        <is>
          <t>Region, crop, year, planned vs actual, window; variance badge if &gt;14d</t>
        </is>
      </c>
      <c r="E2" s="17" t="inlineStr">
        <is>
          <t>S3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TC-SEA-02</t>
        </is>
      </c>
      <c r="B3" s="15" t="inlineStr">
        <is>
          <t>Add plan (admin)</t>
        </is>
      </c>
      <c r="C3" s="15" t="inlineStr">
        <is>
          <t>Admin -&gt; Add Plan -&gt; save</t>
        </is>
      </c>
      <c r="D3" s="15" t="inlineStr">
        <is>
          <t>New plan row; used by Gate 2</t>
        </is>
      </c>
      <c r="E3" s="18" t="inlineStr">
        <is>
          <t>S2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TC-SEA-03</t>
        </is>
      </c>
      <c r="B4" s="13" t="inlineStr">
        <is>
          <t>Window validation</t>
        </is>
      </c>
      <c r="C4" s="13" t="inlineStr">
        <is>
          <t>windowEnd before windowStart</t>
        </is>
      </c>
      <c r="D4" s="13" t="inlineStr">
        <is>
          <t>422 'window end must be after start'</t>
        </is>
      </c>
      <c r="E4" s="17" t="inlineStr">
        <is>
          <t>S3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TC-SEA-04</t>
        </is>
      </c>
      <c r="B5" s="15" t="inlineStr">
        <is>
          <t>Set actual date</t>
        </is>
      </c>
      <c r="C5" s="15" t="inlineStr">
        <is>
          <t>Admin sets actual planting date</t>
        </is>
      </c>
      <c r="D5" s="15" t="inlineStr">
        <is>
          <t>Persists; variance recalculates</t>
        </is>
      </c>
      <c r="E5" s="17" t="inlineStr">
        <is>
          <t>S3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TC-SEA-05</t>
        </is>
      </c>
      <c r="B6" s="13" t="inlineStr">
        <is>
          <t>Officer cannot add</t>
        </is>
      </c>
      <c r="C6" s="13" t="inlineStr">
        <is>
          <t>Login officer, open Seasonality</t>
        </is>
      </c>
      <c r="D6" s="13" t="inlineStr">
        <is>
          <t>Read-only (Add hidden) or 403 on API</t>
        </is>
      </c>
      <c r="E6" s="18" t="inlineStr">
        <is>
          <t>S2</t>
        </is>
      </c>
      <c r="F6" s="8" t="inlineStr"/>
      <c r="G6" s="15" t="inlineStr"/>
      <c r="H6" s="8" t="inlineStr"/>
      <c r="I6" s="15" t="inlineStr"/>
      <c r="J6" s="15" t="inlineStr"/>
    </row>
  </sheetData>
  <dataValidations count="1">
    <dataValidation sqref="F2 F3 F4 F5 F6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TC-LEDGER-01</t>
        </is>
      </c>
      <c r="B2" s="13" t="inlineStr">
        <is>
          <t>Formula explainer</t>
        </is>
      </c>
      <c r="C2" s="13" t="inlineStr">
        <is>
          <t>Open /dmrv/ledger</t>
        </is>
      </c>
      <c r="D2" s="13" t="inlineStr">
        <is>
          <t>Gross=weight x C-org% x 3.67; Deductions=km x diesel; Net=Gross-Deductions</t>
        </is>
      </c>
      <c r="E2" s="17" t="inlineStr">
        <is>
          <t>S3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TC-LEDGER-02</t>
        </is>
      </c>
      <c r="B3" s="15" t="inlineStr">
        <is>
          <t>Totals cards</t>
        </is>
      </c>
      <c r="C3" s="15" t="inlineStr">
        <is>
          <t>Open page</t>
        </is>
      </c>
      <c r="D3" s="15" t="inlineStr">
        <is>
          <t>Gross, Deductions, Net, Creditable + 'N cars off road'</t>
        </is>
      </c>
      <c r="E3" s="18" t="inlineStr">
        <is>
          <t>S2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TC-LEDGER-03</t>
        </is>
      </c>
      <c r="B4" s="13" t="inlineStr">
        <is>
          <t>Per-batch math</t>
        </is>
      </c>
      <c r="C4" s="13" t="inlineStr">
        <is>
          <t>BC-2026-001 (40t, 78% C-org)</t>
        </is>
      </c>
      <c r="D4" s="13" t="inlineStr">
        <is>
          <t>Gross ~= 40 x 0.78 x 3.67 = 114.5t; Net=Gross-deductions</t>
        </is>
      </c>
      <c r="E4" s="14" t="inlineStr">
        <is>
          <t>S1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TC-LEDGER-04</t>
        </is>
      </c>
      <c r="B5" s="15" t="inlineStr">
        <is>
          <t>Rejected batch = 0 credit</t>
        </is>
      </c>
      <c r="C5" s="15" t="inlineStr">
        <is>
          <t>Find BC-2026-003 (rejected)</t>
        </is>
      </c>
      <c r="D5" s="15" t="inlineStr">
        <is>
          <t>Row red; Creditable=0; not eligible</t>
        </is>
      </c>
      <c r="E5" s="14" t="inlineStr">
        <is>
          <t>S1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TC-LEDGER-05</t>
        </is>
      </c>
      <c r="B6" s="13" t="inlineStr">
        <is>
          <t>Export CSV</t>
        </is>
      </c>
      <c r="C6" s="13" t="inlineStr">
        <is>
          <t>Click Export CSV</t>
        </is>
      </c>
      <c r="D6" s="13" t="inlineStr">
        <is>
          <t>CSV downloads; opens in Excel</t>
        </is>
      </c>
      <c r="E6" s="17" t="inlineStr">
        <is>
          <t>S3</t>
        </is>
      </c>
      <c r="F6" s="8" t="inlineStr"/>
      <c r="G6" s="15" t="inlineStr"/>
      <c r="H6" s="8" t="inlineStr"/>
      <c r="I6" s="15" t="inlineStr"/>
      <c r="J6" s="15" t="inlineStr"/>
    </row>
  </sheetData>
  <dataValidations count="1">
    <dataValidation sqref="F2 F3 F4 F5 F6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TC-IMP-01</t>
        </is>
      </c>
      <c r="B2" s="13" t="inlineStr">
        <is>
          <t>Loads own farm</t>
        </is>
      </c>
      <c r="C2" s="13" t="inlineStr">
        <is>
          <t>Login farmer, open /impact</t>
        </is>
      </c>
      <c r="D2" s="13" t="inlineStr">
        <is>
          <t>Dashboard for own farm (no dropdown)</t>
        </is>
      </c>
      <c r="E2" s="14" t="inlineStr">
        <is>
          <t>S1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TC-IMP-02</t>
        </is>
      </c>
      <c r="B3" s="15" t="inlineStr">
        <is>
          <t>Soil Health - pH gauge</t>
        </is>
      </c>
      <c r="C3" s="15" t="inlineStr">
        <is>
          <t>Section A</t>
        </is>
      </c>
      <c r="D3" s="15" t="inlineStr">
        <is>
          <t>Colour bar Acidic-&gt;Alkaline, marker at pH, plain-language advice</t>
        </is>
      </c>
      <c r="E3" s="18" t="inlineStr">
        <is>
          <t>S2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TC-IMP-03</t>
        </is>
      </c>
      <c r="B4" s="13" t="inlineStr">
        <is>
          <t>Nutrient (EC)</t>
        </is>
      </c>
      <c r="C4" s="13" t="inlineStr">
        <is>
          <t>Inspect</t>
        </is>
      </c>
      <c r="D4" s="13" t="inlineStr">
        <is>
          <t>EC value + High/Moderate/Low + 'locked in root zone' note</t>
        </is>
      </c>
      <c r="E4" s="17" t="inlineStr">
        <is>
          <t>S3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TC-IMP-04</t>
        </is>
      </c>
      <c r="B5" s="15" t="inlineStr">
        <is>
          <t>Root Room trend</t>
        </is>
      </c>
      <c r="C5" s="15" t="inlineStr">
        <is>
          <t>Inspect</t>
        </is>
      </c>
      <c r="D5" s="15" t="inlineStr">
        <is>
          <t>Bulk-density line chart + trend arrow (improving if latest&lt;first)</t>
        </is>
      </c>
      <c r="E5" s="17" t="inlineStr">
        <is>
          <t>S3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TC-IMP-05</t>
        </is>
      </c>
      <c r="B6" s="13" t="inlineStr">
        <is>
          <t>Water Holding</t>
        </is>
      </c>
      <c r="C6" s="13" t="inlineStr">
        <is>
          <t>Inspect</t>
        </is>
      </c>
      <c r="D6" s="13" t="inlineStr">
        <is>
          <t>'+X% Water Retention' indicator</t>
        </is>
      </c>
      <c r="E6" s="17" t="inlineStr">
        <is>
          <t>S3</t>
        </is>
      </c>
      <c r="F6" s="8" t="inlineStr"/>
      <c r="G6" s="15" t="inlineStr"/>
      <c r="H6" s="8" t="inlineStr"/>
      <c r="I6" s="15" t="inlineStr"/>
      <c r="J6" s="15" t="inlineStr"/>
    </row>
    <row r="7">
      <c r="A7" s="16" t="inlineStr">
        <is>
          <t>TC-IMP-06</t>
        </is>
      </c>
      <c r="B7" s="15" t="inlineStr">
        <is>
          <t>Carbon Bank counter</t>
        </is>
      </c>
      <c r="C7" s="15" t="inlineStr">
        <is>
          <t>Section B</t>
        </is>
      </c>
      <c r="D7" s="15" t="inlineStr">
        <is>
          <t>Stored CO2e figure; 'N cars off road'; biochar tonnes</t>
        </is>
      </c>
      <c r="E7" s="14" t="inlineStr">
        <is>
          <t>S1</t>
        </is>
      </c>
      <c r="F7" s="8" t="inlineStr"/>
      <c r="G7" s="15" t="inlineStr"/>
      <c r="H7" s="8" t="inlineStr"/>
      <c r="I7" s="15" t="inlineStr"/>
      <c r="J7" s="15" t="inlineStr"/>
    </row>
    <row r="8">
      <c r="A8" s="12" t="inlineStr">
        <is>
          <t>TC-IMP-07</t>
        </is>
      </c>
      <c r="B8" s="13" t="inlineStr">
        <is>
          <t>Payout ledger</t>
        </is>
      </c>
      <c r="C8" s="13" t="inlineStr">
        <is>
          <t>Inspect</t>
        </is>
      </c>
      <c r="D8" s="13" t="inlineStr">
        <is>
          <t>Total Value Earned (R formatted) + payout rows (payment/discount)</t>
        </is>
      </c>
      <c r="E8" s="18" t="inlineStr">
        <is>
          <t>S2</t>
        </is>
      </c>
      <c r="F8" s="8" t="inlineStr"/>
      <c r="G8" s="15" t="inlineStr"/>
      <c r="H8" s="8" t="inlineStr"/>
      <c r="I8" s="15" t="inlineStr"/>
      <c r="J8" s="15" t="inlineStr"/>
    </row>
    <row r="9">
      <c r="A9" s="16" t="inlineStr">
        <is>
          <t>TC-IMP-08</t>
        </is>
      </c>
      <c r="B9" s="15" t="inlineStr">
        <is>
          <t>Evidence timeline</t>
        </is>
      </c>
      <c r="C9" s="15" t="inlineStr">
        <is>
          <t>Section C</t>
        </is>
      </c>
      <c r="D9" s="15" t="inlineStr">
        <is>
          <t>Field-history photos with before/after/sample badges, dates, verified</t>
        </is>
      </c>
      <c r="E9" s="18" t="inlineStr">
        <is>
          <t>S2</t>
        </is>
      </c>
      <c r="F9" s="8" t="inlineStr"/>
      <c r="G9" s="15" t="inlineStr"/>
      <c r="H9" s="8" t="inlineStr"/>
      <c r="I9" s="15" t="inlineStr"/>
      <c r="J9" s="15" t="inlineStr"/>
    </row>
    <row r="10">
      <c r="A10" s="12" t="inlineStr">
        <is>
          <t>TC-IMP-09</t>
        </is>
      </c>
      <c r="B10" s="13" t="inlineStr">
        <is>
          <t>Passport QR</t>
        </is>
      </c>
      <c r="C10" s="13" t="inlineStr">
        <is>
          <t>Inspect</t>
        </is>
      </c>
      <c r="D10" s="13" t="inlineStr">
        <is>
          <t>QR renders; encodes /passport/CSA-2024-00001</t>
        </is>
      </c>
      <c r="E10" s="18" t="inlineStr">
        <is>
          <t>S2</t>
        </is>
      </c>
      <c r="F10" s="8" t="inlineStr"/>
      <c r="G10" s="15" t="inlineStr"/>
      <c r="H10" s="8" t="inlineStr"/>
      <c r="I10" s="15" t="inlineStr"/>
      <c r="J10" s="15" t="inlineStr"/>
    </row>
    <row r="11">
      <c r="A11" s="16" t="inlineStr">
        <is>
          <t>TC-IMP-10</t>
        </is>
      </c>
      <c r="B11" s="15" t="inlineStr">
        <is>
          <t>Data reflects applications</t>
        </is>
      </c>
      <c r="C11" s="15" t="inlineStr">
        <is>
          <t>Apply more eligible biochar -&gt; reload</t>
        </is>
      </c>
      <c r="D11" s="15" t="inlineStr">
        <is>
          <t>Stored CO2e increased</t>
        </is>
      </c>
      <c r="E11" s="18" t="inlineStr">
        <is>
          <t>S2</t>
        </is>
      </c>
      <c r="F11" s="8" t="inlineStr"/>
      <c r="G11" s="15" t="inlineStr"/>
      <c r="H11" s="8" t="inlineStr"/>
      <c r="I11" s="15" t="inlineStr"/>
      <c r="J11" s="15" t="inlineStr"/>
    </row>
    <row r="12">
      <c r="A12" s="12" t="inlineStr">
        <is>
          <t>TC-IMP-11</t>
        </is>
      </c>
      <c r="B12" s="13" t="inlineStr">
        <is>
          <t>Staff pick a farm</t>
        </is>
      </c>
      <c r="C12" s="13" t="inlineStr">
        <is>
          <t>Login admin, open /impact</t>
        </is>
      </c>
      <c r="D12" s="13" t="inlineStr">
        <is>
          <t>Farmer dropdown; selecting loads that farm</t>
        </is>
      </c>
      <c r="E12" s="17" t="inlineStr">
        <is>
          <t>S3</t>
        </is>
      </c>
      <c r="F12" s="8" t="inlineStr"/>
      <c r="G12" s="15" t="inlineStr"/>
      <c r="H12" s="8" t="inlineStr"/>
      <c r="I12" s="15" t="inlineStr"/>
      <c r="J12" s="15" t="inlineStr"/>
    </row>
    <row r="13">
      <c r="A13" s="16" t="inlineStr">
        <is>
          <t>TC-IMP-12</t>
        </is>
      </c>
      <c r="B13" s="15" t="inlineStr">
        <is>
          <t>No profile</t>
        </is>
      </c>
      <c r="C13" s="15" t="inlineStr">
        <is>
          <t>Staff w/o farmer profile opens /impact</t>
        </is>
      </c>
      <c r="D13" s="15" t="inlineStr">
        <is>
          <t>Friendly 'no farm profile linked'; no crash</t>
        </is>
      </c>
      <c r="E13" s="17" t="inlineStr">
        <is>
          <t>S3</t>
        </is>
      </c>
      <c r="F13" s="8" t="inlineStr"/>
      <c r="G13" s="15" t="inlineStr"/>
      <c r="H13" s="8" t="inlineStr"/>
      <c r="I13" s="15" t="inlineStr"/>
      <c r="J13" s="15" t="inlineStr"/>
    </row>
  </sheetData>
  <dataValidations count="1">
    <dataValidation sqref="F2 F3 F4 F5 F6 F7 F8 F9 F10 F11 F12 F13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TC-PASS-01</t>
        </is>
      </c>
      <c r="B2" s="13" t="inlineStr">
        <is>
          <t>Public access</t>
        </is>
      </c>
      <c r="C2" s="13" t="inlineStr">
        <is>
          <t>Open /passport/CSA-2024-00001 logged-out</t>
        </is>
      </c>
      <c r="D2" s="13" t="inlineStr">
        <is>
          <t>Renders without auth</t>
        </is>
      </c>
      <c r="E2" s="14" t="inlineStr">
        <is>
          <t>S1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TC-PASS-02</t>
        </is>
      </c>
      <c r="B3" s="15" t="inlineStr">
        <is>
          <t>Content</t>
        </is>
      </c>
      <c r="C3" s="15" t="inlineStr">
        <is>
          <t>Inspect</t>
        </is>
      </c>
      <c r="D3" s="15" t="inlineStr">
        <is>
          <t>Identity, crops, practices, dMRV stats (CO2e, cars, biochar, verified)</t>
        </is>
      </c>
      <c r="E3" s="18" t="inlineStr">
        <is>
          <t>S2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TC-PASS-03</t>
        </is>
      </c>
      <c r="B4" s="13" t="inlineStr">
        <is>
          <t>Methodology badges</t>
        </is>
      </c>
      <c r="C4" s="13" t="inlineStr">
        <is>
          <t>Inspect</t>
        </is>
      </c>
      <c r="D4" s="13" t="inlineStr">
        <is>
          <t>Verra, Puro.earth, Gold Standard shown</t>
        </is>
      </c>
      <c r="E4" s="17" t="inlineStr">
        <is>
          <t>S3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TC-PASS-04</t>
        </is>
      </c>
      <c r="B5" s="15" t="inlineStr">
        <is>
          <t>No financial leakage</t>
        </is>
      </c>
      <c r="C5" s="15" t="inlineStr">
        <is>
          <t>Inspect page &amp; network response</t>
        </is>
      </c>
      <c r="D5" s="15" t="inlineStr">
        <is>
          <t>No payout/earnings/financial data anywhere</t>
        </is>
      </c>
      <c r="E5" s="14" t="inlineStr">
        <is>
          <t>S1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TC-PASS-05</t>
        </is>
      </c>
      <c r="B6" s="13" t="inlineStr">
        <is>
          <t>QR round-trip</t>
        </is>
      </c>
      <c r="C6" s="13" t="inlineStr">
        <is>
          <t>Scan QR from TC-IMP-09 with phone</t>
        </is>
      </c>
      <c r="D6" s="13" t="inlineStr">
        <is>
          <t>Opens this passport page</t>
        </is>
      </c>
      <c r="E6" s="18" t="inlineStr">
        <is>
          <t>S2</t>
        </is>
      </c>
      <c r="F6" s="8" t="inlineStr"/>
      <c r="G6" s="15" t="inlineStr"/>
      <c r="H6" s="8" t="inlineStr"/>
      <c r="I6" s="15" t="inlineStr"/>
      <c r="J6" s="15" t="inlineStr"/>
    </row>
    <row r="7">
      <c r="A7" s="16" t="inlineStr">
        <is>
          <t>TC-PASS-06</t>
        </is>
      </c>
      <c r="B7" s="15" t="inlineStr">
        <is>
          <t>Unknown ID</t>
        </is>
      </c>
      <c r="C7" s="15" t="inlineStr">
        <is>
          <t>Open /passport/CSA-0000-99999</t>
        </is>
      </c>
      <c r="D7" s="15" t="inlineStr">
        <is>
          <t>Friendly 'Passport not found' (404)</t>
        </is>
      </c>
      <c r="E7" s="17" t="inlineStr">
        <is>
          <t>S3</t>
        </is>
      </c>
      <c r="F7" s="8" t="inlineStr"/>
      <c r="G7" s="15" t="inlineStr"/>
      <c r="H7" s="8" t="inlineStr"/>
      <c r="I7" s="15" t="inlineStr"/>
      <c r="J7" s="15" t="inlineStr"/>
    </row>
  </sheetData>
  <dataValidations count="1">
    <dataValidation sqref="F2 F3 F4 F5 F6 F7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TC-CARB-01</t>
        </is>
      </c>
      <c r="B2" s="13" t="inlineStr">
        <is>
          <t>Carbon page loads</t>
        </is>
      </c>
      <c r="C2" s="13" t="inlineStr">
        <is>
          <t>Admin -&gt; Carbon Tracking</t>
        </is>
      </c>
      <c r="D2" s="13" t="inlineStr">
        <is>
          <t>Trend chart, soil radar, compliance summary, readings table</t>
        </is>
      </c>
      <c r="E2" s="18" t="inlineStr">
        <is>
          <t>S2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TC-CARB-02</t>
        </is>
      </c>
      <c r="B3" s="15" t="inlineStr">
        <is>
          <t>Add reading</t>
        </is>
      </c>
      <c r="C3" s="15" t="inlineStr">
        <is>
          <t>New reading modal -&gt; save</t>
        </is>
      </c>
      <c r="D3" s="15" t="inlineStr">
        <is>
          <t>Row appears; toast</t>
        </is>
      </c>
      <c r="E3" s="14" t="inlineStr">
        <is>
          <t>S1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TC-CARB-03</t>
        </is>
      </c>
      <c r="B4" s="13" t="inlineStr">
        <is>
          <t>Sensor/manual toggle</t>
        </is>
      </c>
      <c r="C4" s="13" t="inlineStr">
        <is>
          <t>Toggle input method</t>
        </is>
      </c>
      <c r="D4" s="13" t="inlineStr">
        <is>
          <t>Method badge reflects choice</t>
        </is>
      </c>
      <c r="E4" s="17" t="inlineStr">
        <is>
          <t>S3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TC-CARB-04</t>
        </is>
      </c>
      <c r="B5" s="15" t="inlineStr">
        <is>
          <t>Offline queue</t>
        </is>
      </c>
      <c r="C5" s="15" t="inlineStr">
        <is>
          <t>DevTools Offline, submit a reading</t>
        </is>
      </c>
      <c r="D5" s="15" t="inlineStr">
        <is>
          <t>'Saved offline - will sync' toast; entry shows locally</t>
        </is>
      </c>
      <c r="E5" s="18" t="inlineStr">
        <is>
          <t>S2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TC-CARB-05</t>
        </is>
      </c>
      <c r="B6" s="13" t="inlineStr">
        <is>
          <t>Sync on reconnect</t>
        </is>
      </c>
      <c r="C6" s="13" t="inlineStr">
        <is>
          <t>Go back online</t>
        </is>
      </c>
      <c r="D6" s="13" t="inlineStr">
        <is>
          <t>Queued reading syncs (verify via API/refresh)</t>
        </is>
      </c>
      <c r="E6" s="18" t="inlineStr">
        <is>
          <t>S2</t>
        </is>
      </c>
      <c r="F6" s="8" t="inlineStr"/>
      <c r="G6" s="15" t="inlineStr"/>
      <c r="H6" s="8" t="inlineStr"/>
      <c r="I6" s="15" t="inlineStr"/>
      <c r="J6" s="15" t="inlineStr"/>
    </row>
  </sheetData>
  <dataValidations count="1">
    <dataValidation sqref="F2 F3 F4 F5 F6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TC-MAP-01</t>
        </is>
      </c>
      <c r="B2" s="13" t="inlineStr">
        <is>
          <t>Map renders</t>
        </is>
      </c>
      <c r="C2" s="13" t="inlineStr">
        <is>
          <t>Admin -&gt; Farm Map</t>
        </is>
      </c>
      <c r="D2" s="13" t="inlineStr">
        <is>
          <t>Leaflet map, farm markers, SA extent</t>
        </is>
      </c>
      <c r="E2" s="18" t="inlineStr">
        <is>
          <t>S2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TC-MAP-02</t>
        </is>
      </c>
      <c r="B3" s="15" t="inlineStr">
        <is>
          <t>Boundary polygons</t>
        </is>
      </c>
      <c r="C3" s="15" t="inlineStr">
        <is>
          <t>Inspect</t>
        </is>
      </c>
      <c r="D3" s="15" t="inlineStr">
        <is>
          <t>Farm boundaries as polygons</t>
        </is>
      </c>
      <c r="E3" s="17" t="inlineStr">
        <is>
          <t>S3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TC-MAP-03</t>
        </is>
      </c>
      <c r="B4" s="13" t="inlineStr">
        <is>
          <t>Draw boundary</t>
        </is>
      </c>
      <c r="C4" s="13" t="inlineStr">
        <is>
          <t>Click-to-draw tool</t>
        </is>
      </c>
      <c r="D4" s="13" t="inlineStr">
        <is>
          <t>Polygon draws; area/stats update</t>
        </is>
      </c>
      <c r="E4" s="17" t="inlineStr">
        <is>
          <t>S3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TC-MAP-04</t>
        </is>
      </c>
      <c r="B5" s="15" t="inlineStr">
        <is>
          <t>Layer toggle</t>
        </is>
      </c>
      <c r="C5" s="15" t="inlineStr">
        <is>
          <t>Street/Satellite/Terrain</t>
        </is>
      </c>
      <c r="D5" s="15" t="inlineStr">
        <is>
          <t>Tiles change</t>
        </is>
      </c>
      <c r="E5" s="19" t="inlineStr">
        <is>
          <t>S4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TC-MAP-05</t>
        </is>
      </c>
      <c r="B6" s="13" t="inlineStr">
        <is>
          <t>Marker popup</t>
        </is>
      </c>
      <c r="C6" s="13" t="inlineStr">
        <is>
          <t>Click a marker</t>
        </is>
      </c>
      <c r="D6" s="13" t="inlineStr">
        <is>
          <t>Popup with farmer + coordinates</t>
        </is>
      </c>
      <c r="E6" s="17" t="inlineStr">
        <is>
          <t>S3</t>
        </is>
      </c>
      <c r="F6" s="8" t="inlineStr"/>
      <c r="G6" s="15" t="inlineStr"/>
      <c r="H6" s="8" t="inlineStr"/>
      <c r="I6" s="15" t="inlineStr"/>
      <c r="J6" s="15" t="inlineStr"/>
    </row>
  </sheetData>
  <dataValidations count="1">
    <dataValidation sqref="F2 F3 F4 F5 F6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TC-LSM-01</t>
        </is>
      </c>
      <c r="B2" s="13" t="inlineStr">
        <is>
          <t>Scoring tool</t>
        </is>
      </c>
      <c r="C2" s="13" t="inlineStr">
        <is>
          <t>LSM Profiles -&gt; answer 6 questions</t>
        </is>
      </c>
      <c r="D2" s="13" t="inlineStr">
        <is>
          <t>Auto score + LSM1-LSM5 category</t>
        </is>
      </c>
      <c r="E2" s="18" t="inlineStr">
        <is>
          <t>S2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TC-LSM-02</t>
        </is>
      </c>
      <c r="B3" s="15" t="inlineStr">
        <is>
          <t>Category cards</t>
        </is>
      </c>
      <c r="C3" s="15" t="inlineStr">
        <is>
          <t>Inspect</t>
        </is>
      </c>
      <c r="D3" s="15" t="inlineStr">
        <is>
          <t>LSM1-5 cards with counts, click to expand recommendations</t>
        </is>
      </c>
      <c r="E3" s="17" t="inlineStr">
        <is>
          <t>S3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TC-LSM-03</t>
        </is>
      </c>
      <c r="B4" s="13" t="inlineStr">
        <is>
          <t>Charts</t>
        </is>
      </c>
      <c r="C4" s="13" t="inlineStr">
        <is>
          <t>Inspect</t>
        </is>
      </c>
      <c r="D4" s="13" t="inlineStr">
        <is>
          <t>Pie, province stacked bar, radar breakdown</t>
        </is>
      </c>
      <c r="E4" s="19" t="inlineStr">
        <is>
          <t>S4</t>
        </is>
      </c>
      <c r="F4" s="8" t="inlineStr"/>
      <c r="G4" s="15" t="inlineStr"/>
      <c r="H4" s="8" t="inlineStr"/>
      <c r="I4" s="15" t="inlineStr"/>
      <c r="J4" s="15" t="inlineStr"/>
    </row>
  </sheetData>
  <dataValidations count="1">
    <dataValidation sqref="F2 F3 F4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TC-SF-01</t>
        </is>
      </c>
      <c r="B2" s="13" t="inlineStr">
        <is>
          <t>Irrigation</t>
        </is>
      </c>
      <c r="C2" s="13" t="inlineStr">
        <is>
          <t>Smart -&gt; Irrigation</t>
        </is>
      </c>
      <c r="D2" s="13" t="inlineStr">
        <is>
          <t>Usage charts, schedule table, add modal</t>
        </is>
      </c>
      <c r="E2" s="17" t="inlineStr">
        <is>
          <t>S3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TC-SF-02</t>
        </is>
      </c>
      <c r="B3" s="15" t="inlineStr">
        <is>
          <t>Pest &amp; Disease</t>
        </is>
      </c>
      <c r="C3" s="15" t="inlineStr">
        <is>
          <t>Smart -&gt; Pest</t>
        </is>
      </c>
      <c r="D3" s="15" t="inlineStr">
        <is>
          <t>Outbreak log, severity coding, remedy, resolve, report modal</t>
        </is>
      </c>
      <c r="E3" s="17" t="inlineStr">
        <is>
          <t>S3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TC-SF-03</t>
        </is>
      </c>
      <c r="B4" s="13" t="inlineStr">
        <is>
          <t>Weather (mock)</t>
        </is>
      </c>
      <c r="C4" s="13" t="inlineStr">
        <is>
          <t>Smart -&gt; Weather (no API key)</t>
        </is>
      </c>
      <c r="D4" s="13" t="inlineStr">
        <is>
          <t>Forecast renders with 'mock' badge</t>
        </is>
      </c>
      <c r="E4" s="17" t="inlineStr">
        <is>
          <t>S3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TC-SF-04</t>
        </is>
      </c>
      <c r="B5" s="15" t="inlineStr">
        <is>
          <t>Weather (live)</t>
        </is>
      </c>
      <c r="C5" s="15" t="inlineStr">
        <is>
          <t>Set VITE_OPENWEATHER_API_KEY, reload</t>
        </is>
      </c>
      <c r="D5" s="15" t="inlineStr">
        <is>
          <t>Live data with 'live' badge; province selector works</t>
        </is>
      </c>
      <c r="E5" s="17" t="inlineStr">
        <is>
          <t>S3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TC-SF-05</t>
        </is>
      </c>
      <c r="B6" s="13" t="inlineStr">
        <is>
          <t>Inventory CRUD</t>
        </is>
      </c>
      <c r="C6" s="13" t="inlineStr">
        <is>
          <t>Smart -&gt; Inventory -&gt; add/edit/delete</t>
        </is>
      </c>
      <c r="D6" s="13" t="inlineStr">
        <is>
          <t>Persists (live) or local; low-stock alert on low qty</t>
        </is>
      </c>
      <c r="E6" s="18" t="inlineStr">
        <is>
          <t>S2</t>
        </is>
      </c>
      <c r="F6" s="8" t="inlineStr"/>
      <c r="G6" s="15" t="inlineStr"/>
      <c r="H6" s="8" t="inlineStr"/>
      <c r="I6" s="15" t="inlineStr"/>
      <c r="J6" s="15" t="inlineStr"/>
    </row>
    <row r="7">
      <c r="A7" s="16" t="inlineStr">
        <is>
          <t>TC-SF-06</t>
        </is>
      </c>
      <c r="B7" s="15" t="inlineStr">
        <is>
          <t>Financials</t>
        </is>
      </c>
      <c r="C7" s="15" t="inlineStr">
        <is>
          <t>Smart -&gt; Financials</t>
        </is>
      </c>
      <c r="D7" s="15" t="inlineStr">
        <is>
          <t>Income/expense charts, projection, record modal</t>
        </is>
      </c>
      <c r="E7" s="17" t="inlineStr">
        <is>
          <t>S3</t>
        </is>
      </c>
      <c r="F7" s="8" t="inlineStr"/>
      <c r="G7" s="15" t="inlineStr"/>
      <c r="H7" s="8" t="inlineStr"/>
      <c r="I7" s="15" t="inlineStr"/>
      <c r="J7" s="15" t="inlineStr"/>
    </row>
  </sheetData>
  <dataValidations count="1">
    <dataValidation sqref="F2 F3 F4 F5 F6 F7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TC-RPT-01</t>
        </is>
      </c>
      <c r="B2" s="13" t="inlineStr">
        <is>
          <t>Overview</t>
        </is>
      </c>
      <c r="C2" s="13" t="inlineStr">
        <is>
          <t>Analytics -&gt; Overview</t>
        </is>
      </c>
      <c r="D2" s="13" t="inlineStr">
        <is>
          <t>KPI cards + charts render</t>
        </is>
      </c>
      <c r="E2" s="17" t="inlineStr">
        <is>
          <t>S3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TC-RPT-02</t>
        </is>
      </c>
      <c r="B3" s="15" t="inlineStr">
        <is>
          <t>Report builder</t>
        </is>
      </c>
      <c r="C3" s="15" t="inlineStr">
        <is>
          <t>Pick template, apply filters, preview</t>
        </is>
      </c>
      <c r="D3" s="15" t="inlineStr">
        <is>
          <t>Column list + preview table populate</t>
        </is>
      </c>
      <c r="E3" s="18" t="inlineStr">
        <is>
          <t>S2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TC-RPT-03</t>
        </is>
      </c>
      <c r="B4" s="13" t="inlineStr">
        <is>
          <t>PDF export</t>
        </is>
      </c>
      <c r="C4" s="13" t="inlineStr">
        <is>
          <t>Export PDF</t>
        </is>
      </c>
      <c r="D4" s="13" t="inlineStr">
        <is>
          <t>Branded PDF downloads, opens, paginated</t>
        </is>
      </c>
      <c r="E4" s="18" t="inlineStr">
        <is>
          <t>S2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TC-RPT-04</t>
        </is>
      </c>
      <c r="B5" s="15" t="inlineStr">
        <is>
          <t>CSV export</t>
        </is>
      </c>
      <c r="C5" s="15" t="inlineStr">
        <is>
          <t>Export CSV</t>
        </is>
      </c>
      <c r="D5" s="15" t="inlineStr">
        <is>
          <t>Valid CSV, opens in Excel</t>
        </is>
      </c>
      <c r="E5" s="18" t="inlineStr">
        <is>
          <t>S2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TC-RPT-05</t>
        </is>
      </c>
      <c r="B6" s="13" t="inlineStr">
        <is>
          <t>XLS export</t>
        </is>
      </c>
      <c r="C6" s="13" t="inlineStr">
        <is>
          <t>Export XLS</t>
        </is>
      </c>
      <c r="D6" s="13" t="inlineStr">
        <is>
          <t>Valid .xlsx with column widths</t>
        </is>
      </c>
      <c r="E6" s="18" t="inlineStr">
        <is>
          <t>S2</t>
        </is>
      </c>
      <c r="F6" s="8" t="inlineStr"/>
      <c r="G6" s="15" t="inlineStr"/>
      <c r="H6" s="8" t="inlineStr"/>
      <c r="I6" s="15" t="inlineStr"/>
      <c r="J6" s="15" t="inlineStr"/>
    </row>
  </sheetData>
  <dataValidations count="1">
    <dataValidation sqref="F2 F3 F4 F5 F6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TC-AUD-01</t>
        </is>
      </c>
      <c r="B2" s="13" t="inlineStr">
        <is>
          <t>Log renders (admin)</t>
        </is>
      </c>
      <c r="C2" s="13" t="inlineStr">
        <is>
          <t>Admin -&gt; Audit Log</t>
        </is>
      </c>
      <c r="D2" s="13" t="inlineStr">
        <is>
          <t>Event table (user, role, action, resource, IP, duration, status); 'Live data'</t>
        </is>
      </c>
      <c r="E2" s="18" t="inlineStr">
        <is>
          <t>S2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TC-AUD-02</t>
        </is>
      </c>
      <c r="B3" s="15" t="inlineStr">
        <is>
          <t>Persistence</t>
        </is>
      </c>
      <c r="C3" s="15" t="inlineStr">
        <is>
          <t>Perform actions, restart backend, reopen</t>
        </is>
      </c>
      <c r="D3" s="15" t="inlineStr">
        <is>
          <t>Prior entries still present (DB-persisted)</t>
        </is>
      </c>
      <c r="E3" s="14" t="inlineStr">
        <is>
          <t>S1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TC-AUD-03</t>
        </is>
      </c>
      <c r="B4" s="13" t="inlineStr">
        <is>
          <t>Auditor read access</t>
        </is>
      </c>
      <c r="C4" s="13" t="inlineStr">
        <is>
          <t>Login auditor -&gt; Audit Log</t>
        </is>
      </c>
      <c r="D4" s="13" t="inlineStr">
        <is>
          <t>Can view full trail</t>
        </is>
      </c>
      <c r="E4" s="18" t="inlineStr">
        <is>
          <t>S2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TC-AUD-04</t>
        </is>
      </c>
      <c r="B5" s="15" t="inlineStr">
        <is>
          <t>Filters</t>
        </is>
      </c>
      <c r="C5" s="15" t="inlineStr">
        <is>
          <t>Filter by action/role, search</t>
        </is>
      </c>
      <c r="D5" s="15" t="inlineStr">
        <is>
          <t>Table filters correctly</t>
        </is>
      </c>
      <c r="E5" s="17" t="inlineStr">
        <is>
          <t>S3</t>
        </is>
      </c>
      <c r="F5" s="8" t="inlineStr"/>
      <c r="G5" s="15" t="inlineStr"/>
      <c r="H5" s="8" t="inlineStr"/>
      <c r="I5" s="15" t="inlineStr"/>
      <c r="J5" s="15" t="inlineStr"/>
    </row>
  </sheetData>
  <dataValidations count="1">
    <dataValidation sqref="F2 F3 F4 F5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TC-NFR-01</t>
        </is>
      </c>
      <c r="B2" s="13" t="inlineStr">
        <is>
          <t>GDPR banner</t>
        </is>
      </c>
      <c r="C2" s="13" t="inlineStr">
        <is>
          <t>First visit (clear localStorage)</t>
        </is>
      </c>
      <c r="D2" s="13" t="inlineStr">
        <is>
          <t>Cookie consent banner; choices persist after reload</t>
        </is>
      </c>
      <c r="E2" s="17" t="inlineStr">
        <is>
          <t>S3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TC-NFR-02</t>
        </is>
      </c>
      <c r="B3" s="15" t="inlineStr">
        <is>
          <t>i18n</t>
        </is>
      </c>
      <c r="C3" s="15" t="inlineStr">
        <is>
          <t>Settings -&gt; Platform -&gt; change language</t>
        </is>
      </c>
      <c r="D3" s="15" t="inlineStr">
        <is>
          <t>UI strings switch live</t>
        </is>
      </c>
      <c r="E3" s="17" t="inlineStr">
        <is>
          <t>S3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TC-NFR-03</t>
        </is>
      </c>
      <c r="B4" s="13" t="inlineStr">
        <is>
          <t>Responsive</t>
        </is>
      </c>
      <c r="C4" s="13" t="inlineStr">
        <is>
          <t>Resize to mobile on key pages</t>
        </is>
      </c>
      <c r="D4" s="13" t="inlineStr">
        <is>
          <t>Sidebar overlay; layout reflows; no horizontal scroll</t>
        </is>
      </c>
      <c r="E4" s="18" t="inlineStr">
        <is>
          <t>S2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TC-NFR-04</t>
        </is>
      </c>
      <c r="B5" s="15" t="inlineStr">
        <is>
          <t>PWA/offline shell</t>
        </is>
      </c>
      <c r="C5" s="15" t="inlineStr">
        <is>
          <t>Load app, go offline, navigate</t>
        </is>
      </c>
      <c r="D5" s="15" t="inlineStr">
        <is>
          <t>Cached shell loads; offline indicator shows</t>
        </is>
      </c>
      <c r="E5" s="17" t="inlineStr">
        <is>
          <t>S3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TC-NFR-05</t>
        </is>
      </c>
      <c r="B6" s="13" t="inlineStr">
        <is>
          <t>Cross-browser</t>
        </is>
      </c>
      <c r="C6" s="13" t="inlineStr">
        <is>
          <t>Smoke path in Chrome/Firefox/Safari/Edge</t>
        </is>
      </c>
      <c r="D6" s="13" t="inlineStr">
        <is>
          <t>Consistent rendering &amp; behaviour</t>
        </is>
      </c>
      <c r="E6" s="18" t="inlineStr">
        <is>
          <t>S2</t>
        </is>
      </c>
      <c r="F6" s="8" t="inlineStr"/>
      <c r="G6" s="15" t="inlineStr"/>
      <c r="H6" s="8" t="inlineStr"/>
      <c r="I6" s="15" t="inlineStr"/>
      <c r="J6" s="15" t="inlineStr"/>
    </row>
    <row r="7">
      <c r="A7" s="16" t="inlineStr">
        <is>
          <t>TC-NFR-06</t>
        </is>
      </c>
      <c r="B7" s="15" t="inlineStr">
        <is>
          <t>Console clean</t>
        </is>
      </c>
      <c r="C7" s="15" t="inlineStr">
        <is>
          <t>Full happy-path with DevTools open</t>
        </is>
      </c>
      <c r="D7" s="15" t="inlineStr">
        <is>
          <t>No uncaught console errors</t>
        </is>
      </c>
      <c r="E7" s="18" t="inlineStr">
        <is>
          <t>S2</t>
        </is>
      </c>
      <c r="F7" s="8" t="inlineStr"/>
      <c r="G7" s="15" t="inlineStr"/>
      <c r="H7" s="8" t="inlineStr"/>
      <c r="I7" s="15" t="inlineStr"/>
      <c r="J7" s="15" t="inlineStr"/>
    </row>
    <row r="8">
      <c r="A8" s="12" t="inlineStr">
        <is>
          <t>TC-NFR-07</t>
        </is>
      </c>
      <c r="B8" s="13" t="inlineStr">
        <is>
          <t>Security headers</t>
        </is>
      </c>
      <c r="C8" s="13" t="inlineStr">
        <is>
          <t>Inspect a response</t>
        </is>
      </c>
      <c r="D8" s="13" t="inlineStr">
        <is>
          <t>Helmet headers present; CORS limited to client origin</t>
        </is>
      </c>
      <c r="E8" s="17" t="inlineStr">
        <is>
          <t>S3</t>
        </is>
      </c>
      <c r="F8" s="8" t="inlineStr"/>
      <c r="G8" s="15" t="inlineStr"/>
      <c r="H8" s="8" t="inlineStr"/>
      <c r="I8" s="15" t="inlineStr"/>
      <c r="J8" s="15" t="inlineStr"/>
    </row>
    <row r="9">
      <c r="A9" s="16" t="inlineStr">
        <is>
          <t>TC-NFR-08</t>
        </is>
      </c>
      <c r="B9" s="15" t="inlineStr">
        <is>
          <t>No secrets in client</t>
        </is>
      </c>
      <c r="C9" s="15" t="inlineStr">
        <is>
          <t>Search built bundle / network</t>
        </is>
      </c>
      <c r="D9" s="15" t="inlineStr">
        <is>
          <t>No JWT secret / server-only keys exposed</t>
        </is>
      </c>
      <c r="E9" s="18" t="inlineStr">
        <is>
          <t>S2</t>
        </is>
      </c>
      <c r="F9" s="8" t="inlineStr"/>
      <c r="G9" s="15" t="inlineStr"/>
      <c r="H9" s="8" t="inlineStr"/>
      <c r="I9" s="15" t="inlineStr"/>
      <c r="J9" s="15" t="inlineStr"/>
    </row>
    <row r="10">
      <c r="A10" s="12" t="inlineStr">
        <is>
          <t>TC-NFR-09</t>
        </is>
      </c>
      <c r="B10" s="13" t="inlineStr">
        <is>
          <t>Perf sanity</t>
        </is>
      </c>
      <c r="C10" s="13" t="inlineStr">
        <is>
          <t>Load dashboard, dMRV pages</t>
        </is>
      </c>
      <c r="D10" s="13" t="inlineStr">
        <is>
          <t>Interactive within a few seconds on normal connection</t>
        </is>
      </c>
      <c r="E10" s="17" t="inlineStr">
        <is>
          <t>S3</t>
        </is>
      </c>
      <c r="F10" s="8" t="inlineStr"/>
      <c r="G10" s="15" t="inlineStr"/>
      <c r="H10" s="8" t="inlineStr"/>
      <c r="I10" s="15" t="inlineStr"/>
      <c r="J10" s="15" t="inlineStr"/>
    </row>
  </sheetData>
  <dataValidations count="1">
    <dataValidation sqref="F2 F3 F4 F5 F6 F7 F8 F9 F10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6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22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Steps</t>
        </is>
      </c>
      <c r="D1" s="6" t="inlineStr">
        <is>
          <t>Expected Result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Tester</t>
        </is>
      </c>
      <c r="H1" s="6" t="inlineStr">
        <is>
          <t>Date</t>
        </is>
      </c>
      <c r="I1" s="6" t="inlineStr">
        <is>
          <t>Defect ID</t>
        </is>
      </c>
      <c r="J1" s="6" t="inlineStr">
        <is>
          <t>Comments</t>
        </is>
      </c>
    </row>
    <row r="2">
      <c r="A2" s="12" t="inlineStr">
        <is>
          <t>TC-E2E-01</t>
        </is>
      </c>
      <c r="B2" s="13" t="inlineStr">
        <is>
          <t>Officer logs batch 520C</t>
        </is>
      </c>
      <c r="C2" s="13" t="inlineStr">
        <is>
          <t>Production log rice husk 30t 520C</t>
        </is>
      </c>
      <c r="D2" s="13" t="inlineStr">
        <is>
          <t>Batch created, dCoC=Produced (Gate 1 pass)</t>
        </is>
      </c>
      <c r="E2" s="14" t="inlineStr">
        <is>
          <t>S1</t>
        </is>
      </c>
      <c r="F2" s="8" t="inlineStr"/>
      <c r="G2" s="15" t="inlineStr"/>
      <c r="H2" s="8" t="inlineStr"/>
      <c r="I2" s="15" t="inlineStr"/>
      <c r="J2" s="15" t="inlineStr"/>
    </row>
    <row r="3">
      <c r="A3" s="16" t="inlineStr">
        <is>
          <t>TC-E2E-02</t>
        </is>
      </c>
      <c r="B3" s="15" t="inlineStr">
        <is>
          <t>Officer batch 300C</t>
        </is>
      </c>
      <c r="C3" s="15" t="inlineStr">
        <is>
          <t>Second batch at 300C</t>
        </is>
      </c>
      <c r="D3" s="15" t="inlineStr">
        <is>
          <t>Rejected (Gate 1 blocked)</t>
        </is>
      </c>
      <c r="E3" s="14" t="inlineStr">
        <is>
          <t>S1</t>
        </is>
      </c>
      <c r="F3" s="8" t="inlineStr"/>
      <c r="G3" s="15" t="inlineStr"/>
      <c r="H3" s="8" t="inlineStr"/>
      <c r="I3" s="15" t="inlineStr"/>
      <c r="J3" s="15" t="inlineStr"/>
    </row>
    <row r="4">
      <c r="A4" s="12" t="inlineStr">
        <is>
          <t>TC-E2E-03</t>
        </is>
      </c>
      <c r="B4" s="13" t="inlineStr">
        <is>
          <t>Upload photo inside boundary</t>
        </is>
      </c>
      <c r="C4" s="13" t="inlineStr">
        <is>
          <t>Geotagged field photo inside plot</t>
        </is>
      </c>
      <c r="D4" s="13" t="inlineStr">
        <is>
          <t>Verified</t>
        </is>
      </c>
      <c r="E4" s="14" t="inlineStr">
        <is>
          <t>S1</t>
        </is>
      </c>
      <c r="F4" s="8" t="inlineStr"/>
      <c r="G4" s="15" t="inlineStr"/>
      <c r="H4" s="8" t="inlineStr"/>
      <c r="I4" s="15" t="inlineStr"/>
      <c r="J4" s="15" t="inlineStr"/>
    </row>
    <row r="5">
      <c r="A5" s="16" t="inlineStr">
        <is>
          <t>TC-E2E-04</t>
        </is>
      </c>
      <c r="B5" s="15" t="inlineStr">
        <is>
          <t>Log soil sample</t>
        </is>
      </c>
      <c r="C5" s="15" t="inlineStr">
        <is>
          <t>Sample from that photo</t>
        </is>
      </c>
      <c r="D5" s="15" t="inlineStr">
        <is>
          <t>Yellow (Sampled)</t>
        </is>
      </c>
      <c r="E5" s="14" t="inlineStr">
        <is>
          <t>S1</t>
        </is>
      </c>
      <c r="F5" s="8" t="inlineStr"/>
      <c r="G5" s="15" t="inlineStr"/>
      <c r="H5" s="8" t="inlineStr"/>
      <c r="I5" s="15" t="inlineStr"/>
      <c r="J5" s="15" t="inlineStr"/>
    </row>
    <row r="6">
      <c r="A6" s="12" t="inlineStr">
        <is>
          <t>TC-E2E-05</t>
        </is>
      </c>
      <c r="B6" s="13" t="inlineStr">
        <is>
          <t>Lab log receipt</t>
        </is>
      </c>
      <c r="C6" s="13" t="inlineStr">
        <is>
          <t>Lab logs receipt with waybill</t>
        </is>
      </c>
      <c r="D6" s="13" t="inlineStr">
        <is>
          <t>Orange (Lab Received)</t>
        </is>
      </c>
      <c r="E6" s="14" t="inlineStr">
        <is>
          <t>S1</t>
        </is>
      </c>
      <c r="F6" s="8" t="inlineStr"/>
      <c r="G6" s="15" t="inlineStr"/>
      <c r="H6" s="8" t="inlineStr"/>
      <c r="I6" s="15" t="inlineStr"/>
      <c r="J6" s="15" t="inlineStr"/>
    </row>
    <row r="7">
      <c r="A7" s="16" t="inlineStr">
        <is>
          <t>TC-E2E-06</t>
        </is>
      </c>
      <c r="B7" s="15" t="inlineStr">
        <is>
          <t>Lab enter results</t>
        </is>
      </c>
      <c r="C7" s="15" t="inlineStr">
        <is>
          <t>PDF, H:C 0.45, metals Pass</t>
        </is>
      </c>
      <c r="D7" s="15" t="inlineStr">
        <is>
          <t>Green; batch issuance-eligible</t>
        </is>
      </c>
      <c r="E7" s="14" t="inlineStr">
        <is>
          <t>S1</t>
        </is>
      </c>
      <c r="F7" s="8" t="inlineStr"/>
      <c r="G7" s="15" t="inlineStr"/>
      <c r="H7" s="8" t="inlineStr"/>
      <c r="I7" s="15" t="inlineStr"/>
      <c r="J7" s="15" t="inlineStr"/>
    </row>
    <row r="8">
      <c r="A8" s="12" t="inlineStr">
        <is>
          <t>TC-E2E-07</t>
        </is>
      </c>
      <c r="B8" s="13" t="inlineStr">
        <is>
          <t>Shipments + application</t>
        </is>
      </c>
      <c r="C8" s="13" t="inlineStr">
        <is>
          <t>Officer ships + applies to farmer</t>
        </is>
      </c>
      <c r="D8" s="13" t="inlineStr">
        <is>
          <t>Mass balance updates; over-ship blocked</t>
        </is>
      </c>
      <c r="E8" s="14" t="inlineStr">
        <is>
          <t>S1</t>
        </is>
      </c>
      <c r="F8" s="8" t="inlineStr"/>
      <c r="G8" s="15" t="inlineStr"/>
      <c r="H8" s="8" t="inlineStr"/>
      <c r="I8" s="15" t="inlineStr"/>
      <c r="J8" s="15" t="inlineStr"/>
    </row>
    <row r="9">
      <c r="A9" s="16" t="inlineStr">
        <is>
          <t>TC-E2E-08</t>
        </is>
      </c>
      <c r="B9" s="15" t="inlineStr">
        <is>
          <t>Record harvests</t>
        </is>
      </c>
      <c r="C9" s="15" t="inlineStr">
        <is>
          <t>In-season + out-of-season</t>
        </is>
      </c>
      <c r="D9" s="15" t="inlineStr">
        <is>
          <t>In-season OK; out-of-season flagged (Gate 2)</t>
        </is>
      </c>
      <c r="E9" s="14" t="inlineStr">
        <is>
          <t>S1</t>
        </is>
      </c>
      <c r="F9" s="8" t="inlineStr"/>
      <c r="G9" s="15" t="inlineStr"/>
      <c r="H9" s="8" t="inlineStr"/>
      <c r="I9" s="15" t="inlineStr"/>
      <c r="J9" s="15" t="inlineStr"/>
    </row>
    <row r="10">
      <c r="A10" s="12" t="inlineStr">
        <is>
          <t>TC-E2E-09</t>
        </is>
      </c>
      <c r="B10" s="13" t="inlineStr">
        <is>
          <t>Ledger + payout</t>
        </is>
      </c>
      <c r="C10" s="13" t="inlineStr">
        <is>
          <t>Admin opens Ledger, records payout</t>
        </is>
      </c>
      <c r="D10" s="13" t="inlineStr">
        <is>
          <t>Gross/Net/Creditable shown; payout saved</t>
        </is>
      </c>
      <c r="E10" s="14" t="inlineStr">
        <is>
          <t>S1</t>
        </is>
      </c>
      <c r="F10" s="8" t="inlineStr"/>
      <c r="G10" s="15" t="inlineStr"/>
      <c r="H10" s="8" t="inlineStr"/>
      <c r="I10" s="15" t="inlineStr"/>
      <c r="J10" s="15" t="inlineStr"/>
    </row>
    <row r="11">
      <c r="A11" s="16" t="inlineStr">
        <is>
          <t>TC-E2E-10</t>
        </is>
      </c>
      <c r="B11" s="15" t="inlineStr">
        <is>
          <t>Farmer impact</t>
        </is>
      </c>
      <c r="C11" s="15" t="inlineStr">
        <is>
          <t>Farmer opens My Farm Impact</t>
        </is>
      </c>
      <c r="D11" s="15" t="inlineStr">
        <is>
          <t>Stored CO2e, payout, evidence, passport QR</t>
        </is>
      </c>
      <c r="E11" s="14" t="inlineStr">
        <is>
          <t>S1</t>
        </is>
      </c>
      <c r="F11" s="8" t="inlineStr"/>
      <c r="G11" s="15" t="inlineStr"/>
      <c r="H11" s="8" t="inlineStr"/>
      <c r="I11" s="15" t="inlineStr"/>
      <c r="J11" s="15" t="inlineStr"/>
    </row>
    <row r="12">
      <c r="A12" s="12" t="inlineStr">
        <is>
          <t>TC-E2E-11</t>
        </is>
      </c>
      <c r="B12" s="13" t="inlineStr">
        <is>
          <t>Public passport</t>
        </is>
      </c>
      <c r="C12" s="13" t="inlineStr">
        <is>
          <t>Open passport logged out</t>
        </is>
      </c>
      <c r="D12" s="13" t="inlineStr">
        <is>
          <t>Verified page, no financials</t>
        </is>
      </c>
      <c r="E12" s="14" t="inlineStr">
        <is>
          <t>S1</t>
        </is>
      </c>
      <c r="F12" s="8" t="inlineStr"/>
      <c r="G12" s="15" t="inlineStr"/>
      <c r="H12" s="8" t="inlineStr"/>
      <c r="I12" s="15" t="inlineStr"/>
      <c r="J12" s="15" t="inlineStr"/>
    </row>
    <row r="13">
      <c r="A13" s="16" t="inlineStr">
        <is>
          <t>TC-E2E-12</t>
        </is>
      </c>
      <c r="B13" s="15" t="inlineStr">
        <is>
          <t>Auditor read-only</t>
        </is>
      </c>
      <c r="C13" s="15" t="inlineStr">
        <is>
          <t>Auditor logs in</t>
        </is>
      </c>
      <c r="D13" s="15" t="inlineStr">
        <is>
          <t>Reads all dMRV + audit; cannot edit</t>
        </is>
      </c>
      <c r="E13" s="14" t="inlineStr">
        <is>
          <t>S1</t>
        </is>
      </c>
      <c r="F13" s="8" t="inlineStr"/>
      <c r="G13" s="15" t="inlineStr"/>
      <c r="H13" s="8" t="inlineStr"/>
      <c r="I13" s="15" t="inlineStr"/>
      <c r="J13" s="15" t="inlineStr"/>
    </row>
    <row r="14">
      <c r="A14" s="12" t="inlineStr">
        <is>
          <t>TC-E2E-13</t>
        </is>
      </c>
      <c r="B14" s="13" t="inlineStr">
        <is>
          <t>Audit survives restart</t>
        </is>
      </c>
      <c r="C14" s="13" t="inlineStr">
        <is>
          <t>Restart backend, reopen Audit Log</t>
        </is>
      </c>
      <c r="D14" s="13" t="inlineStr">
        <is>
          <t>All events still present</t>
        </is>
      </c>
      <c r="E14" s="14" t="inlineStr">
        <is>
          <t>S1</t>
        </is>
      </c>
      <c r="F14" s="8" t="inlineStr"/>
      <c r="G14" s="15" t="inlineStr"/>
      <c r="H14" s="8" t="inlineStr"/>
      <c r="I14" s="15" t="inlineStr"/>
      <c r="J14" s="15" t="inlineStr"/>
    </row>
  </sheetData>
  <dataValidations count="1">
    <dataValidation sqref="F2 F3 F4 F5 F6 F7 F8 F9 F10 F11 F12 F13 F14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2026-07-07T05:07:44Z</dcterms:created>
  <dcterms:modified xmlns:dcterms="http://purl.org/dc/terms/" xmlns:xsi="http://www.w3.org/2001/XMLSchema-instance" xsi:type="dcterms:W3CDTF">2026-07-07T05:07:44Z</dcterms:modified>
</cp:coreProperties>
</file>